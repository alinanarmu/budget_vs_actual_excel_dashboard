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60b0c7dd473bb4c/Desktop/"/>
    </mc:Choice>
  </mc:AlternateContent>
  <xr:revisionPtr revIDLastSave="9" documentId="8_{9EF879ED-6A5E-49B9-BD19-D81C2EEEBA13}" xr6:coauthVersionLast="47" xr6:coauthVersionMax="47" xr10:uidLastSave="{955558C5-4189-4A19-999D-DD4F9CB68461}"/>
  <bookViews>
    <workbookView xWindow="-108" yWindow="-108" windowWidth="23256" windowHeight="12456" xr2:uid="{9A3EBCC3-E9D2-4776-829F-385390478172}"/>
  </bookViews>
  <sheets>
    <sheet name="Dashboard" sheetId="18" r:id="rId1"/>
    <sheet name="Analysis" sheetId="4" r:id="rId2"/>
    <sheet name="Actuals" sheetId="2" r:id="rId3"/>
    <sheet name="Monthly_Budget" sheetId="3" r:id="rId4"/>
    <sheet name="Pivot_Category" sheetId="10" r:id="rId5"/>
    <sheet name="Pivot_Department" sheetId="11" r:id="rId6"/>
    <sheet name="Pivot_Month" sheetId="13" r:id="rId7"/>
    <sheet name="Pivot_Vendors" sheetId="9" r:id="rId8"/>
    <sheet name="Pivot_Comparison" sheetId="17" r:id="rId9"/>
  </sheets>
  <definedNames>
    <definedName name="ExternalData_1" localSheetId="2" hidden="1">Actuals!$A$1:$F$245</definedName>
    <definedName name="ExternalData_2" localSheetId="3" hidden="1">Monthly_Budget!$A$1:$D$11</definedName>
    <definedName name="NativeTimeline_Date">#N/A</definedName>
    <definedName name="Slicer_Department">#N/A</definedName>
  </definedNames>
  <calcPr calcId="191029"/>
  <pivotCaches>
    <pivotCache cacheId="8" r:id="rId10"/>
    <pivotCache cacheId="1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 i="4" l="1"/>
  <c r="F18" i="4"/>
  <c r="F15" i="4"/>
  <c r="F16" i="4" s="1"/>
  <c r="A11" i="4"/>
  <c r="A3" i="4"/>
  <c r="A4" i="4"/>
  <c r="A5" i="4"/>
  <c r="A6" i="4"/>
  <c r="A7" i="4"/>
  <c r="A8" i="4"/>
  <c r="A9" i="4"/>
  <c r="A10" i="4"/>
  <c r="A2" i="4"/>
  <c r="F17" i="4" l="1"/>
  <c r="B11" i="4"/>
  <c r="D11" i="4" s="1"/>
  <c r="C11" i="4"/>
  <c r="B3" i="4"/>
  <c r="D3" i="4" s="1"/>
  <c r="C3" i="4"/>
  <c r="B4" i="4"/>
  <c r="D4" i="4" s="1"/>
  <c r="C4" i="4"/>
  <c r="B5" i="4"/>
  <c r="D5" i="4" s="1"/>
  <c r="C5" i="4"/>
  <c r="B6" i="4"/>
  <c r="D6" i="4" s="1"/>
  <c r="C6" i="4"/>
  <c r="B7" i="4"/>
  <c r="D7" i="4" s="1"/>
  <c r="C7" i="4"/>
  <c r="B8" i="4"/>
  <c r="D8" i="4" s="1"/>
  <c r="C8" i="4"/>
  <c r="B9" i="4"/>
  <c r="D9" i="4" s="1"/>
  <c r="C9" i="4"/>
  <c r="B10" i="4"/>
  <c r="D10" i="4" s="1"/>
  <c r="C10" i="4"/>
  <c r="C2" i="4"/>
  <c r="E2" i="4" s="1"/>
  <c r="B2" i="4"/>
  <c r="D2" i="4" s="1"/>
  <c r="I3" i="4" l="1"/>
  <c r="I5" i="4"/>
  <c r="I11" i="4"/>
  <c r="I4" i="4"/>
  <c r="I6" i="4"/>
  <c r="I7" i="4"/>
  <c r="I8" i="4"/>
  <c r="I9" i="4"/>
  <c r="I2" i="4"/>
  <c r="I10" i="4"/>
  <c r="H11" i="4"/>
  <c r="N11" i="4" s="1"/>
  <c r="O11" i="4" s="1"/>
  <c r="E11" i="4"/>
  <c r="E3" i="4"/>
  <c r="H3" i="4"/>
  <c r="N3" i="4" s="1"/>
  <c r="O3" i="4" s="1"/>
  <c r="H4" i="4"/>
  <c r="N4" i="4" s="1"/>
  <c r="O4" i="4" s="1"/>
  <c r="E4" i="4"/>
  <c r="H5" i="4"/>
  <c r="N5" i="4" s="1"/>
  <c r="O5" i="4" s="1"/>
  <c r="E5" i="4"/>
  <c r="E6" i="4"/>
  <c r="H6" i="4"/>
  <c r="N6" i="4" s="1"/>
  <c r="O6" i="4" s="1"/>
  <c r="H7" i="4"/>
  <c r="N7" i="4" s="1"/>
  <c r="O7" i="4" s="1"/>
  <c r="E7" i="4"/>
  <c r="H8" i="4"/>
  <c r="N8" i="4" s="1"/>
  <c r="O8" i="4" s="1"/>
  <c r="E8" i="4"/>
  <c r="E9" i="4"/>
  <c r="H9" i="4"/>
  <c r="N9" i="4" s="1"/>
  <c r="O9" i="4" s="1"/>
  <c r="H10" i="4"/>
  <c r="N10" i="4" s="1"/>
  <c r="O10" i="4" s="1"/>
  <c r="E10" i="4"/>
  <c r="H2" i="4"/>
  <c r="C15" i="4"/>
  <c r="M11" i="4"/>
  <c r="M3" i="4"/>
  <c r="M4" i="4"/>
  <c r="M5" i="4"/>
  <c r="M6" i="4"/>
  <c r="M7" i="4"/>
  <c r="M8" i="4"/>
  <c r="M9" i="4"/>
  <c r="M10" i="4"/>
  <c r="M2" i="4"/>
  <c r="C16" i="4" l="1"/>
  <c r="C17" i="4" s="1"/>
  <c r="N2" i="4"/>
  <c r="O2" i="4" s="1"/>
  <c r="C18" i="4"/>
  <c r="C19" i="4"/>
  <c r="F2" i="4"/>
  <c r="G2" i="4"/>
  <c r="F9" i="4"/>
  <c r="G9" i="4"/>
  <c r="G11" i="4"/>
  <c r="F11" i="4"/>
  <c r="G8" i="4"/>
  <c r="F8" i="4"/>
  <c r="F3" i="4"/>
  <c r="G3" i="4"/>
  <c r="J11" i="4"/>
  <c r="K11" i="4"/>
  <c r="L11" i="4" s="1" a="1"/>
  <c r="J3" i="4"/>
  <c r="K3" i="4"/>
  <c r="L3" i="4" s="1" a="1"/>
  <c r="J4" i="4"/>
  <c r="K4" i="4"/>
  <c r="L4" i="4" s="1" a="1"/>
  <c r="J5" i="4"/>
  <c r="K5" i="4"/>
  <c r="L5" i="4" s="1" a="1"/>
  <c r="J6" i="4"/>
  <c r="K6" i="4"/>
  <c r="L6" i="4" s="1" a="1"/>
  <c r="J7" i="4"/>
  <c r="K7" i="4"/>
  <c r="L7" i="4" s="1" a="1"/>
  <c r="J8" i="4"/>
  <c r="K8" i="4"/>
  <c r="L8" i="4" s="1" a="1"/>
  <c r="J9" i="4"/>
  <c r="K9" i="4"/>
  <c r="L9" i="4" s="1" a="1"/>
  <c r="J10" i="4"/>
  <c r="K10" i="4"/>
  <c r="L10" i="4" s="1" a="1"/>
  <c r="J2" i="4"/>
  <c r="K2" i="4"/>
  <c r="L2" i="4" s="1" a="1"/>
  <c r="F4" i="4"/>
  <c r="G4" i="4"/>
  <c r="F5" i="4"/>
  <c r="G5" i="4"/>
  <c r="F6" i="4"/>
  <c r="G6" i="4"/>
  <c r="G7" i="4"/>
  <c r="F7" i="4"/>
  <c r="G10" i="4"/>
  <c r="F10" i="4"/>
  <c r="C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7EE2B-706D-410B-A510-D5F7CAD933D9}" keepAlive="1" name="Query - Excel Project" description="Connection to the 'Excel Project' query in the workbook." type="5" refreshedVersion="8" background="1" saveData="1">
    <dbPr connection="Provider=Microsoft.Mashup.OleDb.1;Data Source=$Workbook$;Location=&quot;Excel Project&quot;;Extended Properties=&quot;&quot;" command="SELECT * FROM [Excel Project]"/>
  </connection>
  <connection id="2" xr16:uid="{3D396306-9FA1-4DB9-B9D4-BD15AF6E8DC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D6BE8FB-BBF4-4FF6-8138-4E94DEE73CE9}"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E68BA8E7-53BB-46C5-B902-9BB3EA0B02FF}"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 id="5" xr16:uid="{27D74FE9-518C-4734-9FEE-3F42CD18AE2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F86713A0-285B-4D98-8A4B-A89306D214E3}"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195CFD14-62B7-43DA-A53E-622187F4DBB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6E07A2F3-45F8-45FC-8F4D-02C48AC79319}"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7396619C-2B0B-421F-B5E8-A0E69DB1CCC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4F1AB443-CBD2-442C-81ED-E0983D80899C}"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<sst xmlns="http://schemas.openxmlformats.org/spreadsheetml/2006/main" count="1102" uniqueCount="83">
  <si>
    <t>Source.Name</t>
  </si>
  <si>
    <t>Date</t>
  </si>
  <si>
    <t>Department</t>
  </si>
  <si>
    <t>Category</t>
  </si>
  <si>
    <t>Vendor</t>
  </si>
  <si>
    <t>Amount</t>
  </si>
  <si>
    <t>actuals_aug_2026.csv</t>
  </si>
  <si>
    <t>IT</t>
  </si>
  <si>
    <t>Hardware</t>
  </si>
  <si>
    <t>Google Ads</t>
  </si>
  <si>
    <t>Air Canada</t>
  </si>
  <si>
    <t>MARKETING</t>
  </si>
  <si>
    <t>Events &amp; Sponsorships</t>
  </si>
  <si>
    <t>Microsoft 365</t>
  </si>
  <si>
    <t>Uber For Business</t>
  </si>
  <si>
    <t>HR</t>
  </si>
  <si>
    <t>Training</t>
  </si>
  <si>
    <t>Dell Technologies</t>
  </si>
  <si>
    <t>OPERATIONS</t>
  </si>
  <si>
    <t>Logistics</t>
  </si>
  <si>
    <t>Indeed.com</t>
  </si>
  <si>
    <t>Supplies</t>
  </si>
  <si>
    <t>Staples Inc</t>
  </si>
  <si>
    <t>Software Licenses</t>
  </si>
  <si>
    <t>Digital Advertising</t>
  </si>
  <si>
    <t>SALES</t>
  </si>
  <si>
    <t>Client Entertainment</t>
  </si>
  <si>
    <t>LinkedIn Corp</t>
  </si>
  <si>
    <t>Fedex</t>
  </si>
  <si>
    <t>Recruiting</t>
  </si>
  <si>
    <t>Travel</t>
  </si>
  <si>
    <t>actuals_jul_2026.csv</t>
  </si>
  <si>
    <t>actuals_jun_2026.csv</t>
  </si>
  <si>
    <t>actuals_may_2026.csv</t>
  </si>
  <si>
    <t>actuals_apr_2026.csv</t>
  </si>
  <si>
    <t>actuals_mar_2026.csv</t>
  </si>
  <si>
    <t>actuals_feb_2026.csv</t>
  </si>
  <si>
    <t>actuals_jan_2026.csv</t>
  </si>
  <si>
    <t>Monthly_Budget</t>
  </si>
  <si>
    <t>budget_reference.csv</t>
  </si>
  <si>
    <t>Annual Budget</t>
  </si>
  <si>
    <t>Monthly Budget</t>
  </si>
  <si>
    <t>Year-End Forecast</t>
  </si>
  <si>
    <t>Actual YTD (Jan-Aug)</t>
  </si>
  <si>
    <t>Budget YTD (Jan-Aug)</t>
  </si>
  <si>
    <t>YTD Variance $</t>
  </si>
  <si>
    <t>YTD Variance %</t>
  </si>
  <si>
    <t>Forecast Variance $</t>
  </si>
  <si>
    <t>Forecast Variance %</t>
  </si>
  <si>
    <t>Forecast Status</t>
  </si>
  <si>
    <r>
      <t>Ave</t>
    </r>
    <r>
      <rPr>
        <sz val="11"/>
        <color theme="1"/>
        <rFont val="Aptos Narrow"/>
        <family val="2"/>
        <scheme val="minor"/>
      </rPr>
      <t>rage Monthly Actual</t>
    </r>
  </si>
  <si>
    <t>Remaining Annual Budget</t>
  </si>
  <si>
    <t>Allowable Monthly Spend Remaining</t>
  </si>
  <si>
    <t>Grand Total</t>
  </si>
  <si>
    <t>Jan</t>
  </si>
  <si>
    <t>Feb</t>
  </si>
  <si>
    <t>Mar</t>
  </si>
  <si>
    <t>Apr</t>
  </si>
  <si>
    <t>May</t>
  </si>
  <si>
    <t>Jun</t>
  </si>
  <si>
    <t>Jul</t>
  </si>
  <si>
    <t>Aug</t>
  </si>
  <si>
    <t>Actual Spend</t>
  </si>
  <si>
    <t xml:space="preserve">Actual Spend   </t>
  </si>
  <si>
    <t>Departments</t>
  </si>
  <si>
    <t>2026</t>
  </si>
  <si>
    <t xml:space="preserve">Actual Spend </t>
  </si>
  <si>
    <t xml:space="preserve">Year-End Forecast </t>
  </si>
  <si>
    <t xml:space="preserve">Annual Budget </t>
  </si>
  <si>
    <t>Categories</t>
  </si>
  <si>
    <t>Actual YTD</t>
  </si>
  <si>
    <t>Budget YTD</t>
  </si>
  <si>
    <t>Column1</t>
  </si>
  <si>
    <t>Column2</t>
  </si>
  <si>
    <t xml:space="preserve">Amount Spent </t>
  </si>
  <si>
    <t>WeWork</t>
  </si>
  <si>
    <t>Setting</t>
  </si>
  <si>
    <t>Formula</t>
  </si>
  <si>
    <t>Reporting End Date</t>
  </si>
  <si>
    <t>Months in a Year</t>
  </si>
  <si>
    <t>Months Remaining</t>
  </si>
  <si>
    <t>Months Elapsed</t>
  </si>
  <si>
    <t>Source: Simulated transaction data | Last refreshed: September 6th,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</si>
</sst>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0.0%"/>
  </numFmts>
  <fonts count="4">
    <font>
      <sz val="11"/>
      <color theme="1"/>
      <name val="Aptos Narrow"/>
      <family val="2"/>
      <scheme val="minor"/>
    </font>
    <font>
      <sz val="11"/>
      <color theme="1"/>
      <name val="Aptos Narrow"/>
      <family val="2"/>
      <scheme val="minor"/>
    </font>
    <font>
      <sz val="8"/>
      <name val="Aptos Narrow"/>
      <family val="2"/>
      <scheme val="minor"/>
    </font>
    <font>
      <i/>
      <sz val="10"/>
      <color rgb="FF1F3D2B"/>
      <name val="Arial Unicode MS"/>
    </font>
  </fonts>
  <fills count="3">
    <fill>
      <patternFill patternType="none"/>
    </fill>
    <fill>
      <patternFill patternType="gray125"/>
    </fill>
    <fill>
      <patternFill patternType="solid">
        <fgColor rgb="FFF7F3E9"/>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44" fontId="0" fillId="0" borderId="0" xfId="1" applyFont="1"/>
    <xf numFmtId="44" fontId="0" fillId="0" borderId="0" xfId="0" applyNumberFormat="1"/>
    <xf numFmtId="44" fontId="0" fillId="0" borderId="0" xfId="2" applyNumberFormat="1" applyFont="1"/>
    <xf numFmtId="164" fontId="0" fillId="0" borderId="0" xfId="2" applyNumberFormat="1" applyFont="1"/>
    <xf numFmtId="0" fontId="0" fillId="0" borderId="0" xfId="0" applyAlignment="1">
      <alignment horizontal="left"/>
    </xf>
    <xf numFmtId="44" fontId="0" fillId="0" borderId="0" xfId="1" applyFont="1" applyAlignment="1">
      <alignment horizontal="left"/>
    </xf>
    <xf numFmtId="164" fontId="0" fillId="0" borderId="0" xfId="2" applyNumberFormat="1" applyFont="1" applyAlignment="1">
      <alignment horizontal="left"/>
    </xf>
    <xf numFmtId="9" fontId="0" fillId="0" borderId="0" xfId="2" applyFont="1" applyAlignment="1">
      <alignment horizontal="left"/>
    </xf>
    <xf numFmtId="9" fontId="0" fillId="0" borderId="0" xfId="2" applyFont="1" applyAlignment="1">
      <alignment horizontal="left" wrapText="1"/>
    </xf>
    <xf numFmtId="0" fontId="0" fillId="0" borderId="0" xfId="0" pivotButton="1"/>
    <xf numFmtId="0" fontId="0" fillId="0" borderId="0" xfId="0" applyAlignment="1">
      <alignment horizontal="left" indent="1"/>
    </xf>
    <xf numFmtId="0" fontId="0" fillId="2" borderId="0" xfId="0" applyFill="1"/>
    <xf numFmtId="164" fontId="0" fillId="0" borderId="0" xfId="1" applyNumberFormat="1" applyFont="1"/>
    <xf numFmtId="0" fontId="3" fillId="2" borderId="0" xfId="0" applyFont="1" applyFill="1"/>
  </cellXfs>
  <cellStyles count="3">
    <cellStyle name="Currency" xfId="1" builtinId="4"/>
    <cellStyle name="Normal" xfId="0" builtinId="0"/>
    <cellStyle name="Percent" xfId="2" builtinId="5"/>
  </cellStyles>
  <dxfs count="48">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9" formatCode="yyyy/mm/dd"/>
    </dxf>
    <dxf>
      <font>
        <color rgb="FF9C0006"/>
      </font>
      <fill>
        <patternFill>
          <bgColor rgb="FFFFC7CE"/>
        </patternFill>
      </fill>
    </dxf>
    <dxf>
      <fill>
        <patternFill patternType="solid">
          <bgColor rgb="FFFFABAB"/>
        </patternFill>
      </fill>
    </dxf>
    <dxf>
      <fill>
        <patternFill>
          <bgColor rgb="FFF0BD78"/>
        </patternFill>
      </fill>
    </dxf>
    <dxf>
      <fill>
        <patternFill>
          <bgColor rgb="FFF2FDA1"/>
        </patternFill>
      </fill>
    </dxf>
    <dxf>
      <fill>
        <patternFill>
          <bgColor rgb="FF90E8B8"/>
        </patternFill>
      </fill>
    </dxf>
    <dxf>
      <font>
        <b/>
        <i val="0"/>
        <color rgb="FFC00000"/>
      </font>
      <fill>
        <patternFill patternType="none">
          <bgColor auto="1"/>
        </patternFill>
      </fill>
    </dxf>
    <dxf>
      <font>
        <b/>
        <i val="0"/>
        <color theme="9" tint="-0.24994659260841701"/>
      </font>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0.0%"/>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left" vertical="bottom" textRotation="0" indent="0" justifyLastLine="0" shrinkToFit="0" readingOrder="0"/>
    </dxf>
    <dxf>
      <font>
        <b/>
        <i val="0"/>
        <sz val="11"/>
        <color rgb="FF1F3D2B"/>
        <name val="Aptos Narrow"/>
        <family val="2"/>
        <scheme val="minor"/>
      </font>
    </dxf>
    <dxf>
      <font>
        <name val="Aptos Narrow"/>
        <family val="2"/>
        <scheme val="minor"/>
      </font>
      <fill>
        <patternFill patternType="solid">
          <fgColor theme="0"/>
          <bgColor rgb="FFF7F3E9"/>
        </patternFill>
      </fill>
      <border diagonalUp="0" diagonalDown="0">
        <left/>
        <right/>
        <top/>
        <bottom/>
        <vertical/>
        <horizontal/>
      </border>
    </dxf>
    <dxf>
      <font>
        <b val="0"/>
        <i val="0"/>
      </font>
      <fill>
        <patternFill patternType="solid">
          <bgColor rgb="FFF7F3E9"/>
        </patternFill>
      </fill>
    </dxf>
    <dxf>
      <font>
        <b val="0"/>
        <i val="0"/>
      </font>
      <fill>
        <patternFill patternType="solid">
          <bgColor rgb="FFFFFFFF"/>
        </patternFill>
      </fill>
    </dxf>
    <dxf>
      <font>
        <b/>
        <i val="0"/>
      </font>
      <fill>
        <patternFill>
          <bgColor rgb="FF5C8368"/>
        </patternFill>
      </fill>
    </dxf>
    <dxf>
      <font>
        <b/>
        <i val="0"/>
        <color rgb="FFF7F3E9"/>
      </font>
      <fill>
        <patternFill patternType="solid">
          <bgColor rgb="FF1F3D2B"/>
        </patternFill>
      </fill>
    </dxf>
    <dxf>
      <border>
        <left/>
        <right/>
        <top style="thin">
          <color rgb="FFDCD5C4"/>
        </top>
        <bottom style="thin">
          <color rgb="FFDCD5C4"/>
        </bottom>
      </border>
    </dxf>
    <dxf>
      <font>
        <b/>
        <color theme="1"/>
      </font>
      <border>
        <bottom style="thin">
          <color theme="6"/>
        </bottom>
        <vertical/>
        <horizontal/>
      </border>
    </dxf>
    <dxf>
      <font>
        <color theme="1"/>
      </font>
      <fill>
        <patternFill>
          <bgColor rgb="FFF7F3E9"/>
        </patternFill>
      </fill>
      <border diagonalUp="0" diagonalDown="0">
        <left/>
        <right/>
        <top/>
        <bottom/>
        <vertical/>
        <horizontal/>
      </border>
    </dxf>
    <dxf>
      <font>
        <b val="0"/>
        <i val="0"/>
      </font>
      <fill>
        <patternFill patternType="solid">
          <bgColor rgb="FFF7F3E9"/>
        </patternFill>
      </fill>
    </dxf>
    <dxf>
      <font>
        <b val="0"/>
        <i val="0"/>
      </font>
      <fill>
        <patternFill patternType="solid">
          <bgColor theme="0"/>
        </patternFill>
      </fill>
    </dxf>
    <dxf>
      <fill>
        <patternFill>
          <bgColor rgb="FF5C8368"/>
        </patternFill>
      </fill>
    </dxf>
    <dxf>
      <font>
        <b/>
        <i val="0"/>
        <color rgb="FFF7F3E9"/>
      </font>
      <fill>
        <patternFill>
          <bgColor rgb="FF1F3D2B"/>
        </patternFill>
      </fill>
    </dxf>
    <dxf>
      <border>
        <top style="thin">
          <color rgb="FFDCD5C4"/>
        </top>
        <bottom style="thin">
          <color rgb="FFDCD5C4"/>
        </bottom>
      </border>
    </dxf>
    <dxf>
      <font>
        <b/>
        <i val="0"/>
        <strike val="0"/>
        <color rgb="FF1F3D2B"/>
      </font>
      <fill>
        <patternFill>
          <bgColor rgb="FFF7F3E9"/>
        </patternFill>
      </fill>
    </dxf>
    <dxf>
      <font>
        <color rgb="FFF7F3E9"/>
      </font>
      <fill>
        <patternFill patternType="solid">
          <bgColor rgb="FFF7F3E9"/>
        </patternFill>
      </fill>
      <border diagonalUp="0" diagonalDown="0">
        <left/>
        <right/>
        <top/>
        <bottom/>
        <vertical/>
        <horizontal/>
      </border>
    </dxf>
  </dxfs>
  <tableStyles count="5" defaultTableStyle="Table Style 1" defaultPivotStyle="Custom  Green">
    <tableStyle name="Custom" pivot="0" table="0" count="6" xr9:uid="{9795FA81-0739-4D15-930B-18789104FE0F}">
      <tableStyleElement type="wholeTable" dxfId="47"/>
      <tableStyleElement type="headerRow" dxfId="46"/>
    </tableStyle>
    <tableStyle name="Custom  Green" table="0" count="5" xr9:uid="{3E4158CD-5AB2-42C5-9DE7-24E6D9B1C8F2}">
      <tableStyleElement type="wholeTable" dxfId="45"/>
      <tableStyleElement type="headerRow" dxfId="44"/>
      <tableStyleElement type="totalRow" dxfId="43"/>
      <tableStyleElement type="firstRowStripe" dxfId="42"/>
      <tableStyleElement type="secondRowStripe" dxfId="41"/>
    </tableStyle>
    <tableStyle name="Custom Green" pivot="0" table="0" count="10" xr9:uid="{027CC691-234D-497E-8F03-767642DBBD17}">
      <tableStyleElement type="wholeTable" dxfId="40"/>
      <tableStyleElement type="headerRow" dxfId="39"/>
    </tableStyle>
    <tableStyle name="Table Style 1" pivot="0" count="5" xr9:uid="{CC932330-6FD9-48EA-A757-6BDFF77B836F}">
      <tableStyleElement type="wholeTable" dxfId="38"/>
      <tableStyleElement type="headerRow" dxfId="37"/>
      <tableStyleElement type="totalRow" dxfId="36"/>
      <tableStyleElement type="firstRowStripe" dxfId="35"/>
      <tableStyleElement type="secondRowStripe" dxfId="34"/>
    </tableStyle>
    <tableStyle name="Timeline Style 1" pivot="0" table="0" count="8" xr9:uid="{24396A22-2F60-4EFC-862D-748FEDA1F0A5}">
      <tableStyleElement type="wholeTable" dxfId="33"/>
      <tableStyleElement type="headerRow" dxfId="32"/>
    </tableStyle>
  </tableStyles>
  <colors>
    <mruColors>
      <color rgb="FF5C8368"/>
      <color rgb="FF19370F"/>
      <color rgb="FF1F3D2B"/>
      <color rgb="FFF7F3E9"/>
      <color rgb="FFC00000"/>
      <color rgb="FFF3F9E9"/>
      <color rgb="FFFFFFFF"/>
      <color rgb="FFDCD5C4"/>
      <color rgb="FFFF1919"/>
      <color rgb="FF90E8B8"/>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val="0"/>
            <i val="0"/>
            <color theme="0"/>
          </font>
          <fill>
            <patternFill>
              <bgColor theme="6"/>
            </patternFill>
          </fill>
        </dxf>
        <dxf>
          <font>
            <b val="0"/>
            <i val="0"/>
            <strike val="0"/>
            <color theme="0"/>
          </font>
          <fill>
            <patternFill>
              <bgColor theme="6"/>
            </patternFill>
          </fill>
        </dxf>
        <dxf>
          <font>
            <b val="0"/>
            <i val="0"/>
            <color theme="0"/>
          </font>
          <fill>
            <patternFill>
              <bgColor theme="0" tint="-0.34998626667073579"/>
            </patternFill>
          </fill>
        </dxf>
        <dxf>
          <font>
            <b val="0"/>
            <i val="0"/>
            <strike val="0"/>
            <color theme="0"/>
          </font>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Custom">
        <x14:slicerStyle name="Custom">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Custom Gree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1F3D2B"/>
            </patternFill>
          </fill>
        </dxf>
        <dxf>
          <font>
            <sz val="9"/>
            <color theme="1" tint="0.499984740745262"/>
          </font>
        </dxf>
        <dxf>
          <font>
            <sz val="9"/>
            <color theme="1" tint="0.499984740745262"/>
          </font>
        </dxf>
        <dxf>
          <font>
            <sz val="9"/>
            <color theme="1" tint="0.14996795556505021"/>
            <name val="Aptos Narrow"/>
            <family val="2"/>
            <scheme val="minor"/>
          </font>
        </dxf>
        <dxf>
          <font>
            <sz val="10"/>
            <color theme="1" tint="0.34998626667073579"/>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[Budget_vs_Actual_Forecast_Dashboard.xlsx.xlsx]Pivot_Vendors!PivotTable3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a:t>
            </a:r>
            <a:r>
              <a:rPr lang="en-US" b="1">
                <a:latin typeface="+mn-lt"/>
              </a:rPr>
              <a:t>Vendo</a:t>
            </a:r>
            <a:r>
              <a:rPr lang="en-CA" b="1"/>
              <a:t>rs by Spend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Pivot_Vendors!$B$3</c:f>
              <c:strCache>
                <c:ptCount val="1"/>
                <c:pt idx="0">
                  <c:v>Total</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0-D84A-4BCC-A6FB-617B54FE1FD8}"/>
              </c:ext>
            </c:extLst>
          </c:dPt>
          <c:cat>
            <c:strRef>
              <c:f>Pivot_Vendors!$A$4:$A$9</c:f>
              <c:strCache>
                <c:ptCount val="5"/>
                <c:pt idx="0">
                  <c:v>WeWork</c:v>
                </c:pt>
                <c:pt idx="1">
                  <c:v>Google Ads</c:v>
                </c:pt>
                <c:pt idx="2">
                  <c:v>Indeed.com</c:v>
                </c:pt>
                <c:pt idx="3">
                  <c:v>Staples Inc</c:v>
                </c:pt>
                <c:pt idx="4">
                  <c:v>Uber For Business</c:v>
                </c:pt>
              </c:strCache>
            </c:strRef>
          </c:cat>
          <c:val>
            <c:numRef>
              <c:f>Pivot_Vendors!$B$4:$B$9</c:f>
              <c:numCache>
                <c:formatCode>_("$"* #,##0.00_);_("$"* \(#,##0.00\);_("$"* "-"??_);_(@_)</c:formatCode>
                <c:ptCount val="5"/>
                <c:pt idx="0">
                  <c:v>84813.919999999984</c:v>
                </c:pt>
                <c:pt idx="1">
                  <c:v>83574.89</c:v>
                </c:pt>
                <c:pt idx="2">
                  <c:v>73884.260000000009</c:v>
                </c:pt>
                <c:pt idx="3">
                  <c:v>63531.73</c:v>
                </c:pt>
                <c:pt idx="4">
                  <c:v>62766.759999999987</c:v>
                </c:pt>
              </c:numCache>
            </c:numRef>
          </c:val>
          <c:extLst>
            <c:ext xmlns:c16="http://schemas.microsoft.com/office/drawing/2014/chart" uri="{C3380CC4-5D6E-409C-BE32-E72D297353CC}">
              <c16:uniqueId val="{00000001-D84A-4BCC-A6FB-617B54FE1FD8}"/>
            </c:ext>
          </c:extLst>
        </c:ser>
        <c:dLbls>
          <c:showLegendKey val="0"/>
          <c:showVal val="0"/>
          <c:showCatName val="0"/>
          <c:showSerName val="0"/>
          <c:showPercent val="0"/>
          <c:showBubbleSize val="0"/>
        </c:dLbls>
        <c:gapWidth val="219"/>
        <c:overlap val="-27"/>
        <c:axId val="852470912"/>
        <c:axId val="754123792"/>
      </c:barChart>
      <c:catAx>
        <c:axId val="852470912"/>
        <c:scaling>
          <c:orientation val="minMax"/>
        </c:scaling>
        <c:delete val="0"/>
        <c:axPos val="b"/>
        <c:numFmt formatCode="_(&quot;$&quot;* #,##0.00_);_(&quot;$&quot;* \(#,##0.00\);_(&quot;$&quot;* &quot;-&quot;??_);_(@_)"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23792"/>
        <c:crosses val="autoZero"/>
        <c:auto val="1"/>
        <c:lblAlgn val="ctr"/>
        <c:lblOffset val="100"/>
        <c:noMultiLvlLbl val="0"/>
      </c:catAx>
      <c:valAx>
        <c:axId val="75412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[Budget_vs_Actual_Forecast_Dashboard.xlsx.xlsx]Pivot_Comparison!PivotTable19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Annual Budget vs Year-End Forecast by Category — </a:t>
            </a:r>
            <a:r>
              <a:rPr lang="en-CA" b="0" i="1"/>
              <a:t>Based on Jan–Aug 2026 Actuals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pivotFmt>
      <c:pivotFmt>
        <c:idx val="3"/>
        <c:spPr>
          <a:solidFill>
            <a:srgbClr val="C00000"/>
          </a:solidFill>
          <a:ln>
            <a:noFill/>
          </a:ln>
          <a:effectLst/>
        </c:spPr>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chemeClr val="accent3">
              <a:shade val="76000"/>
            </a:schemeClr>
          </a:solidFill>
          <a:ln>
            <a:noFill/>
          </a:ln>
          <a:effectLst/>
        </c:spPr>
      </c:pivotFmt>
      <c:pivotFmt>
        <c:idx val="8"/>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hade val="76000"/>
            </a:schemeClr>
          </a:solidFill>
          <a:ln>
            <a:noFill/>
          </a:ln>
          <a:effectLst/>
        </c:spPr>
      </c:pivotFmt>
      <c:pivotFmt>
        <c:idx val="11"/>
        <c:spPr>
          <a:solidFill>
            <a:schemeClr val="accent3">
              <a:shade val="76000"/>
            </a:schemeClr>
          </a:solidFill>
          <a:ln>
            <a:noFill/>
          </a:ln>
          <a:effectLst/>
        </c:spPr>
      </c:pivotFmt>
    </c:pivotFmts>
    <c:plotArea>
      <c:layout/>
      <c:barChart>
        <c:barDir val="col"/>
        <c:grouping val="clustered"/>
        <c:varyColors val="0"/>
        <c:ser>
          <c:idx val="0"/>
          <c:order val="0"/>
          <c:tx>
            <c:strRef>
              <c:f>Pivot_Comparison!$B$3</c:f>
              <c:strCache>
                <c:ptCount val="1"/>
                <c:pt idx="0">
                  <c:v>Annual Budget </c:v>
                </c:pt>
              </c:strCache>
            </c:strRef>
          </c:tx>
          <c:spPr>
            <a:solidFill>
              <a:schemeClr val="bg1">
                <a:lumMod val="85000"/>
              </a:schemeClr>
            </a:solidFill>
            <a:ln>
              <a:noFill/>
            </a:ln>
            <a:effectLst/>
          </c:spPr>
          <c:invertIfNegative val="0"/>
          <c:cat>
            <c:strRef>
              <c:f>Pivot_Comparison!$A$4:$A$14</c:f>
              <c:strCache>
                <c:ptCount val="10"/>
                <c:pt idx="0">
                  <c:v>Client Entertainment</c:v>
                </c:pt>
                <c:pt idx="1">
                  <c:v>Digital Advertising</c:v>
                </c:pt>
                <c:pt idx="2">
                  <c:v>Events &amp; Sponsorships</c:v>
                </c:pt>
                <c:pt idx="3">
                  <c:v>Hardware</c:v>
                </c:pt>
                <c:pt idx="4">
                  <c:v>Logistics</c:v>
                </c:pt>
                <c:pt idx="5">
                  <c:v>Recruiting</c:v>
                </c:pt>
                <c:pt idx="6">
                  <c:v>Software Licenses</c:v>
                </c:pt>
                <c:pt idx="7">
                  <c:v>Supplies</c:v>
                </c:pt>
                <c:pt idx="8">
                  <c:v>Training</c:v>
                </c:pt>
                <c:pt idx="9">
                  <c:v>Travel</c:v>
                </c:pt>
              </c:strCache>
            </c:strRef>
          </c:cat>
          <c:val>
            <c:numRef>
              <c:f>Pivot_Comparison!$B$4:$B$14</c:f>
              <c:numCache>
                <c:formatCode>_("$"* #,##0.00_);_("$"* \(#,##0.00\);_("$"* "-"??_);_(@_)</c:formatCode>
                <c:ptCount val="10"/>
                <c:pt idx="0">
                  <c:v>50860.56</c:v>
                </c:pt>
                <c:pt idx="1">
                  <c:v>109384.92</c:v>
                </c:pt>
                <c:pt idx="2">
                  <c:v>50401.08</c:v>
                </c:pt>
                <c:pt idx="3">
                  <c:v>112963.20000000001</c:v>
                </c:pt>
                <c:pt idx="4">
                  <c:v>69428.28</c:v>
                </c:pt>
                <c:pt idx="5">
                  <c:v>133649.28</c:v>
                </c:pt>
                <c:pt idx="6">
                  <c:v>118701.24</c:v>
                </c:pt>
                <c:pt idx="7">
                  <c:v>74402.759999999995</c:v>
                </c:pt>
                <c:pt idx="8">
                  <c:v>56346.12</c:v>
                </c:pt>
                <c:pt idx="9">
                  <c:v>88504.44</c:v>
                </c:pt>
              </c:numCache>
            </c:numRef>
          </c:val>
          <c:extLst>
            <c:ext xmlns:c16="http://schemas.microsoft.com/office/drawing/2014/chart" uri="{C3380CC4-5D6E-409C-BE32-E72D297353CC}">
              <c16:uniqueId val="{00000000-4080-415D-9808-6E05DABA3139}"/>
            </c:ext>
          </c:extLst>
        </c:ser>
        <c:ser>
          <c:idx val="1"/>
          <c:order val="1"/>
          <c:tx>
            <c:strRef>
              <c:f>Pivot_Comparison!$C$3</c:f>
              <c:strCache>
                <c:ptCount val="1"/>
                <c:pt idx="0">
                  <c:v>Year-End Forecast </c:v>
                </c:pt>
              </c:strCache>
            </c:strRef>
          </c:tx>
          <c:spPr>
            <a:solidFill>
              <a:schemeClr val="accent3">
                <a:shade val="76000"/>
              </a:schemeClr>
            </a:solidFill>
            <a:ln>
              <a:noFill/>
            </a:ln>
            <a:effectLst/>
          </c:spPr>
          <c:invertIfNegative val="0"/>
          <c:dPt>
            <c:idx val="2"/>
            <c:invertIfNegative val="0"/>
            <c:bubble3D val="0"/>
            <c:spPr>
              <a:solidFill>
                <a:schemeClr val="accent3">
                  <a:shade val="76000"/>
                </a:schemeClr>
              </a:solidFill>
              <a:ln>
                <a:noFill/>
              </a:ln>
              <a:effectLst/>
            </c:spPr>
            <c:extLst>
              <c:ext xmlns:c16="http://schemas.microsoft.com/office/drawing/2014/chart" uri="{C3380CC4-5D6E-409C-BE32-E72D297353CC}">
                <c16:uniqueId val="{00000002-4080-415D-9808-6E05DABA3139}"/>
              </c:ext>
            </c:extLst>
          </c:dPt>
          <c:dPt>
            <c:idx val="5"/>
            <c:invertIfNegative val="0"/>
            <c:bubble3D val="0"/>
            <c:spPr>
              <a:solidFill>
                <a:schemeClr val="accent3">
                  <a:shade val="76000"/>
                </a:schemeClr>
              </a:solidFill>
              <a:ln>
                <a:noFill/>
              </a:ln>
              <a:effectLst/>
            </c:spPr>
            <c:extLst>
              <c:ext xmlns:c16="http://schemas.microsoft.com/office/drawing/2014/chart" uri="{C3380CC4-5D6E-409C-BE32-E72D297353CC}">
                <c16:uniqueId val="{00000004-4080-415D-9808-6E05DABA3139}"/>
              </c:ext>
            </c:extLst>
          </c:dPt>
          <c:cat>
            <c:strRef>
              <c:f>Pivot_Comparison!$A$4:$A$14</c:f>
              <c:strCache>
                <c:ptCount val="10"/>
                <c:pt idx="0">
                  <c:v>Client Entertainment</c:v>
                </c:pt>
                <c:pt idx="1">
                  <c:v>Digital Advertising</c:v>
                </c:pt>
                <c:pt idx="2">
                  <c:v>Events &amp; Sponsorships</c:v>
                </c:pt>
                <c:pt idx="3">
                  <c:v>Hardware</c:v>
                </c:pt>
                <c:pt idx="4">
                  <c:v>Logistics</c:v>
                </c:pt>
                <c:pt idx="5">
                  <c:v>Recruiting</c:v>
                </c:pt>
                <c:pt idx="6">
                  <c:v>Software Licenses</c:v>
                </c:pt>
                <c:pt idx="7">
                  <c:v>Supplies</c:v>
                </c:pt>
                <c:pt idx="8">
                  <c:v>Training</c:v>
                </c:pt>
                <c:pt idx="9">
                  <c:v>Travel</c:v>
                </c:pt>
              </c:strCache>
            </c:strRef>
          </c:cat>
          <c:val>
            <c:numRef>
              <c:f>Pivot_Comparison!$C$4:$C$14</c:f>
              <c:numCache>
                <c:formatCode>_("$"* #,##0.00_);_("$"* \(#,##0.00\);_("$"* "-"??_);_(@_)</c:formatCode>
                <c:ptCount val="10"/>
                <c:pt idx="0">
                  <c:v>49596.210000000006</c:v>
                </c:pt>
                <c:pt idx="1">
                  <c:v>115294.41</c:v>
                </c:pt>
                <c:pt idx="2">
                  <c:v>59841.794999999984</c:v>
                </c:pt>
                <c:pt idx="3">
                  <c:v>109839</c:v>
                </c:pt>
                <c:pt idx="4">
                  <c:v>75729.795000000013</c:v>
                </c:pt>
                <c:pt idx="5">
                  <c:v>135333.16499999998</c:v>
                </c:pt>
                <c:pt idx="6">
                  <c:v>121188.67500000002</c:v>
                </c:pt>
                <c:pt idx="7">
                  <c:v>79766.520000000019</c:v>
                </c:pt>
                <c:pt idx="8">
                  <c:v>58977.120000000003</c:v>
                </c:pt>
                <c:pt idx="9">
                  <c:v>93473.43</c:v>
                </c:pt>
              </c:numCache>
            </c:numRef>
          </c:val>
          <c:extLst>
            <c:ext xmlns:c16="http://schemas.microsoft.com/office/drawing/2014/chart" uri="{C3380CC4-5D6E-409C-BE32-E72D297353CC}">
              <c16:uniqueId val="{00000005-4080-415D-9808-6E05DABA3139}"/>
            </c:ext>
          </c:extLst>
        </c:ser>
        <c:dLbls>
          <c:showLegendKey val="0"/>
          <c:showVal val="0"/>
          <c:showCatName val="0"/>
          <c:showSerName val="0"/>
          <c:showPercent val="0"/>
          <c:showBubbleSize val="0"/>
        </c:dLbls>
        <c:gapWidth val="219"/>
        <c:overlap val="-27"/>
        <c:axId val="604184528"/>
        <c:axId val="845328304"/>
      </c:barChart>
      <c:catAx>
        <c:axId val="6041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28304"/>
        <c:crosses val="autoZero"/>
        <c:auto val="1"/>
        <c:lblAlgn val="ctr"/>
        <c:lblOffset val="100"/>
        <c:noMultiLvlLbl val="0"/>
      </c:catAx>
      <c:valAx>
        <c:axId val="84532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8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[Budget_vs_Actual_Forecast_Dashboard.xlsx.xlsx]Pivot_Month!PivotTable16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Monthly</a:t>
            </a:r>
            <a:r>
              <a:rPr lang="en-US" b="1" baseline="0">
                <a:latin typeface="+mn-lt"/>
              </a:rPr>
              <a:t> Actual Spend - Jan-Aug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lumMod val="5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lumMod val="50000"/>
              </a:schemeClr>
            </a:solidFill>
            <a:round/>
          </a:ln>
          <a:effectLst/>
        </c:spPr>
        <c:marker>
          <c:symbol val="circle"/>
          <c:size val="6"/>
          <c:spPr>
            <a:solidFill>
              <a:srgbClr val="FF1919"/>
            </a:solidFill>
            <a:ln w="12700">
              <a:solidFill>
                <a:schemeClr val="accent6"/>
              </a:solidFill>
            </a:ln>
            <a:effectLst/>
          </c:spPr>
        </c:marker>
      </c:pivotFmt>
      <c:pivotFmt>
        <c:idx val="2"/>
        <c:spPr>
          <a:solidFill>
            <a:schemeClr val="accent6"/>
          </a:solidFill>
          <a:ln w="28575" cap="rnd">
            <a:solidFill>
              <a:schemeClr val="accent6">
                <a:lumMod val="50000"/>
              </a:schemeClr>
            </a:solidFill>
            <a:round/>
          </a:ln>
          <a:effectLst/>
        </c:spPr>
        <c:marker>
          <c:symbol val="circle"/>
          <c:size val="6"/>
          <c:spPr>
            <a:solidFill>
              <a:srgbClr val="C00000"/>
            </a:solidFill>
            <a:ln w="9525">
              <a:solidFill>
                <a:schemeClr val="accent6"/>
              </a:solidFill>
            </a:ln>
            <a:effectLst/>
          </c:spPr>
        </c:marker>
      </c:pivotFmt>
      <c:pivotFmt>
        <c:idx val="3"/>
        <c:spPr>
          <a:solidFill>
            <a:schemeClr val="accent6"/>
          </a:solidFill>
          <a:ln w="28575" cap="rnd">
            <a:solidFill>
              <a:schemeClr val="accent6">
                <a:lumMod val="5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lumMod val="50000"/>
              </a:schemeClr>
            </a:solidFill>
            <a:round/>
          </a:ln>
          <a:effectLst/>
        </c:spPr>
        <c:marker>
          <c:symbol val="circle"/>
          <c:size val="6"/>
          <c:spPr>
            <a:solidFill>
              <a:srgbClr val="C00000"/>
            </a:solidFill>
            <a:ln w="9525">
              <a:solidFill>
                <a:schemeClr val="accent6"/>
              </a:solidFill>
            </a:ln>
            <a:effectLst/>
          </c:spPr>
        </c:marker>
      </c:pivotFmt>
      <c:pivotFmt>
        <c:idx val="5"/>
        <c:spPr>
          <a:solidFill>
            <a:schemeClr val="accent6"/>
          </a:solidFill>
          <a:ln w="28575" cap="rnd">
            <a:solidFill>
              <a:schemeClr val="accent6">
                <a:lumMod val="50000"/>
              </a:schemeClr>
            </a:solidFill>
            <a:round/>
          </a:ln>
          <a:effectLst/>
        </c:spPr>
        <c:marker>
          <c:symbol val="circle"/>
          <c:size val="6"/>
          <c:spPr>
            <a:solidFill>
              <a:srgbClr val="FF1919"/>
            </a:solidFill>
            <a:ln w="12700">
              <a:solidFill>
                <a:schemeClr val="accent6"/>
              </a:solidFill>
            </a:ln>
            <a:effectLst/>
          </c:spPr>
        </c:marker>
      </c:pivotFmt>
      <c:pivotFmt>
        <c:idx val="6"/>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lumMod val="50000"/>
                <a:alpha val="96000"/>
              </a:schemeClr>
            </a:solidFill>
            <a:round/>
          </a:ln>
          <a:effectLst/>
        </c:spPr>
        <c:marker>
          <c:symbol val="circle"/>
          <c:size val="5"/>
        </c:marker>
      </c:pivotFmt>
      <c:pivotFmt>
        <c:idx val="8"/>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pivotFmt>
    </c:pivotFmts>
    <c:plotArea>
      <c:layout/>
      <c:lineChart>
        <c:grouping val="standard"/>
        <c:varyColors val="0"/>
        <c:ser>
          <c:idx val="0"/>
          <c:order val="0"/>
          <c:tx>
            <c:strRef>
              <c:f>Pivot_Month!$B$3</c:f>
              <c:strCache>
                <c:ptCount val="1"/>
                <c:pt idx="0">
                  <c:v>Total</c:v>
                </c:pt>
              </c:strCache>
            </c:strRef>
          </c:tx>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dPt>
            <c:idx val="2"/>
            <c:marker>
              <c:symbol val="circle"/>
              <c:size val="5"/>
              <c:spPr>
                <a:solidFill>
                  <a:srgbClr val="5C8368"/>
                </a:solidFill>
                <a:ln w="9525">
                  <a:solidFill>
                    <a:schemeClr val="accent6"/>
                  </a:solidFill>
                </a:ln>
                <a:effectLst/>
              </c:spPr>
            </c:marker>
            <c:bubble3D val="0"/>
            <c:spPr>
              <a:ln w="28575" cap="rnd">
                <a:solidFill>
                  <a:schemeClr val="accent3">
                    <a:lumMod val="50000"/>
                    <a:alpha val="96000"/>
                  </a:schemeClr>
                </a:solidFill>
                <a:round/>
              </a:ln>
              <a:effectLst/>
            </c:spPr>
            <c:extLst>
              <c:ext xmlns:c16="http://schemas.microsoft.com/office/drawing/2014/chart" uri="{C3380CC4-5D6E-409C-BE32-E72D297353CC}">
                <c16:uniqueId val="{00000001-50C6-4053-8560-1BCC29364D62}"/>
              </c:ext>
            </c:extLst>
          </c:dPt>
          <c:dPt>
            <c:idx val="5"/>
            <c:marker>
              <c:symbol val="circle"/>
              <c:size val="5"/>
              <c:spPr>
                <a:solidFill>
                  <a:srgbClr val="5C8368"/>
                </a:solidFill>
                <a:ln w="9525">
                  <a:solidFill>
                    <a:schemeClr val="accent6"/>
                  </a:solidFill>
                </a:ln>
                <a:effectLst/>
              </c:spPr>
            </c:marker>
            <c:bubble3D val="0"/>
            <c:spPr>
              <a:ln w="28575" cap="rnd">
                <a:solidFill>
                  <a:schemeClr val="accent3">
                    <a:lumMod val="50000"/>
                    <a:alpha val="96000"/>
                  </a:schemeClr>
                </a:solidFill>
                <a:round/>
              </a:ln>
              <a:effectLst/>
            </c:spPr>
            <c:extLst>
              <c:ext xmlns:c16="http://schemas.microsoft.com/office/drawing/2014/chart" uri="{C3380CC4-5D6E-409C-BE32-E72D297353CC}">
                <c16:uniqueId val="{00000003-50C6-4053-8560-1BCC29364D62}"/>
              </c:ext>
            </c:extLst>
          </c:dPt>
          <c:cat>
            <c:multiLvlStrRef>
              <c:f>Pivot_Month!$A$4:$A$13</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Pivot_Month!$B$4:$B$13</c:f>
              <c:numCache>
                <c:formatCode>_("$"* #,##0.00_);_("$"* \(#,##0.00\);_("$"* "-"??_);_(@_)</c:formatCode>
                <c:ptCount val="8"/>
                <c:pt idx="0">
                  <c:v>69696.639999999999</c:v>
                </c:pt>
                <c:pt idx="1">
                  <c:v>73842.239999999991</c:v>
                </c:pt>
                <c:pt idx="2">
                  <c:v>80206.090000000011</c:v>
                </c:pt>
                <c:pt idx="3">
                  <c:v>72735.179999999993</c:v>
                </c:pt>
                <c:pt idx="4">
                  <c:v>78384.12999999999</c:v>
                </c:pt>
                <c:pt idx="5">
                  <c:v>80792.250000000015</c:v>
                </c:pt>
                <c:pt idx="6">
                  <c:v>76168.38999999997</c:v>
                </c:pt>
                <c:pt idx="7">
                  <c:v>67535.16</c:v>
                </c:pt>
              </c:numCache>
            </c:numRef>
          </c:val>
          <c:smooth val="0"/>
          <c:extLst>
            <c:ext xmlns:c16="http://schemas.microsoft.com/office/drawing/2014/chart" uri="{C3380CC4-5D6E-409C-BE32-E72D297353CC}">
              <c16:uniqueId val="{00000004-50C6-4053-8560-1BCC29364D62}"/>
            </c:ext>
          </c:extLst>
        </c:ser>
        <c:dLbls>
          <c:showLegendKey val="0"/>
          <c:showVal val="0"/>
          <c:showCatName val="0"/>
          <c:showSerName val="0"/>
          <c:showPercent val="0"/>
          <c:showBubbleSize val="0"/>
        </c:dLbls>
        <c:marker val="1"/>
        <c:smooth val="0"/>
        <c:axId val="1007291360"/>
        <c:axId val="845176624"/>
      </c:lineChart>
      <c:catAx>
        <c:axId val="100729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76624"/>
        <c:crosses val="autoZero"/>
        <c:auto val="1"/>
        <c:lblAlgn val="ctr"/>
        <c:lblOffset val="100"/>
        <c:noMultiLvlLbl val="0"/>
      </c:catAx>
      <c:valAx>
        <c:axId val="84517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29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Spend by Catego</a:t>
            </a:r>
            <a:r>
              <a:rPr lang="en-CA"/>
              <a: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3"/>
            </a:solidFill>
            <a:ln>
              <a:noFill/>
            </a:ln>
            <a:effectLst/>
          </c:spPr>
          <c:invertIfNegative val="0"/>
          <c:cat>
            <c:strRef>
              <c:f>Pivot_Category!$A$4:$A$14</c:f>
              <c:strCache>
                <c:ptCount val="10"/>
                <c:pt idx="0">
                  <c:v>Recruiting</c:v>
                </c:pt>
                <c:pt idx="1">
                  <c:v>Software Licenses</c:v>
                </c:pt>
                <c:pt idx="2">
                  <c:v>Digital Advertising</c:v>
                </c:pt>
                <c:pt idx="3">
                  <c:v>Hardware</c:v>
                </c:pt>
                <c:pt idx="4">
                  <c:v>Travel</c:v>
                </c:pt>
                <c:pt idx="5">
                  <c:v>Supplies</c:v>
                </c:pt>
                <c:pt idx="6">
                  <c:v>Logistics</c:v>
                </c:pt>
                <c:pt idx="7">
                  <c:v>Events &amp; Sponsorships</c:v>
                </c:pt>
                <c:pt idx="8">
                  <c:v>Training</c:v>
                </c:pt>
                <c:pt idx="9">
                  <c:v>Client Entertainment</c:v>
                </c:pt>
              </c:strCache>
            </c:strRef>
          </c:cat>
          <c:val>
            <c:numRef>
              <c:f>Pivot_Category!$B$4:$B$14</c:f>
              <c:numCache>
                <c:formatCode>_("$"* #,##0.00_);_("$"* \(#,##0.00\);_("$"* "-"??_);_(@_)</c:formatCode>
                <c:ptCount val="10"/>
                <c:pt idx="0">
                  <c:v>90222.109999999986</c:v>
                </c:pt>
                <c:pt idx="1">
                  <c:v>80792.450000000012</c:v>
                </c:pt>
                <c:pt idx="2">
                  <c:v>76862.94</c:v>
                </c:pt>
                <c:pt idx="3">
                  <c:v>73226</c:v>
                </c:pt>
                <c:pt idx="4">
                  <c:v>62315.619999999995</c:v>
                </c:pt>
                <c:pt idx="5">
                  <c:v>53177.680000000008</c:v>
                </c:pt>
                <c:pt idx="6">
                  <c:v>50486.530000000006</c:v>
                </c:pt>
                <c:pt idx="7">
                  <c:v>39894.529999999992</c:v>
                </c:pt>
                <c:pt idx="8">
                  <c:v>39318.080000000002</c:v>
                </c:pt>
                <c:pt idx="9">
                  <c:v>33064.140000000007</c:v>
                </c:pt>
              </c:numCache>
            </c:numRef>
          </c:val>
          <c:extLst>
            <c:ext xmlns:c16="http://schemas.microsoft.com/office/drawing/2014/chart" uri="{C3380CC4-5D6E-409C-BE32-E72D297353CC}">
              <c16:uniqueId val="{00000000-8C47-4CA8-AF76-A497E8E1FECB}"/>
            </c:ext>
          </c:extLst>
        </c:ser>
        <c:dLbls>
          <c:showLegendKey val="0"/>
          <c:showVal val="0"/>
          <c:showCatName val="0"/>
          <c:showSerName val="0"/>
          <c:showPercent val="0"/>
          <c:showBubbleSize val="0"/>
        </c:dLbls>
        <c:gapWidth val="219"/>
        <c:overlap val="-27"/>
        <c:axId val="750691872"/>
        <c:axId val="754142032"/>
      </c:barChart>
      <c:catAx>
        <c:axId val="750691872"/>
        <c:scaling>
          <c:orientation val="minMax"/>
        </c:scaling>
        <c:delete val="0"/>
        <c:axPos val="b"/>
        <c:numFmt formatCode="&quot;$&quot;0,&quot;K&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42032"/>
        <c:crosses val="autoZero"/>
        <c:auto val="1"/>
        <c:lblAlgn val="ctr"/>
        <c:lblOffset val="100"/>
        <c:noMultiLvlLbl val="0"/>
      </c:catAx>
      <c:valAx>
        <c:axId val="754142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9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[Budget_vs_Actual_Forecast_Dashboard.xlsx.xlsx]Pivot_Department!PivotTable5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Spend by Depa</a:t>
            </a:r>
            <a:r>
              <a:rPr lang="en-CA"/>
              <a:t>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c:f>
              <c:strCache>
                <c:ptCount val="1"/>
                <c:pt idx="0">
                  <c:v>Total</c:v>
                </c:pt>
              </c:strCache>
            </c:strRef>
          </c:tx>
          <c:spPr>
            <a:solidFill>
              <a:schemeClr val="accent3"/>
            </a:solidFill>
            <a:ln>
              <a:noFill/>
            </a:ln>
            <a:effectLst/>
          </c:spPr>
          <c:invertIfNegative val="0"/>
          <c:cat>
            <c:strRef>
              <c:f>Pivot_Department!$A$4:$A$9</c:f>
              <c:strCache>
                <c:ptCount val="5"/>
                <c:pt idx="0">
                  <c:v>IT</c:v>
                </c:pt>
                <c:pt idx="1">
                  <c:v>HR</c:v>
                </c:pt>
                <c:pt idx="2">
                  <c:v>MARKETING</c:v>
                </c:pt>
                <c:pt idx="3">
                  <c:v>OPERATIONS</c:v>
                </c:pt>
                <c:pt idx="4">
                  <c:v>SALES</c:v>
                </c:pt>
              </c:strCache>
            </c:strRef>
          </c:cat>
          <c:val>
            <c:numRef>
              <c:f>Pivot_Department!$B$4:$B$9</c:f>
              <c:numCache>
                <c:formatCode>_("$"* #,##0.00_);_("$"* \(#,##0.00\);_("$"* "-"??_);_(@_)</c:formatCode>
                <c:ptCount val="5"/>
                <c:pt idx="0">
                  <c:v>154018.45000000004</c:v>
                </c:pt>
                <c:pt idx="1">
                  <c:v>129540.19</c:v>
                </c:pt>
                <c:pt idx="2">
                  <c:v>116757.47</c:v>
                </c:pt>
                <c:pt idx="3">
                  <c:v>103664.20999999998</c:v>
                </c:pt>
                <c:pt idx="4">
                  <c:v>95379.76</c:v>
                </c:pt>
              </c:numCache>
            </c:numRef>
          </c:val>
          <c:extLst>
            <c:ext xmlns:c16="http://schemas.microsoft.com/office/drawing/2014/chart" uri="{C3380CC4-5D6E-409C-BE32-E72D297353CC}">
              <c16:uniqueId val="{00000000-4B73-4C27-A0EE-EFC8353EA9D6}"/>
            </c:ext>
          </c:extLst>
        </c:ser>
        <c:dLbls>
          <c:showLegendKey val="0"/>
          <c:showVal val="0"/>
          <c:showCatName val="0"/>
          <c:showSerName val="0"/>
          <c:showPercent val="0"/>
          <c:showBubbleSize val="0"/>
        </c:dLbls>
        <c:gapWidth val="219"/>
        <c:overlap val="-27"/>
        <c:axId val="750672848"/>
        <c:axId val="754079632"/>
      </c:barChart>
      <c:catAx>
        <c:axId val="7506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79632"/>
        <c:crosses val="autoZero"/>
        <c:auto val="1"/>
        <c:lblAlgn val="ctr"/>
        <c:lblOffset val="100"/>
        <c:noMultiLvlLbl val="0"/>
      </c:catAx>
      <c:valAx>
        <c:axId val="754079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419100</xdr:colOff>
      <xdr:row>10</xdr:row>
      <xdr:rowOff>175336</xdr:rowOff>
    </xdr:from>
    <xdr:to>
      <xdr:col>15</xdr:col>
      <xdr:colOff>464820</xdr:colOff>
      <xdr:row>27</xdr:row>
      <xdr:rowOff>7696</xdr:rowOff>
    </xdr:to>
    <xdr:grpSp>
      <xdr:nvGrpSpPr>
        <xdr:cNvPr id="12" name="Group 11">
          <a:extLst>
            <a:ext uri="{FF2B5EF4-FFF2-40B4-BE49-F238E27FC236}">
              <a16:creationId xmlns:a16="http://schemas.microsoft.com/office/drawing/2014/main" id="{CF16DE2E-D3D7-459D-6C9E-69B8AF6E42C4}"/>
            </a:ext>
          </a:extLst>
        </xdr:cNvPr>
        <xdr:cNvGrpSpPr/>
      </xdr:nvGrpSpPr>
      <xdr:grpSpPr>
        <a:xfrm>
          <a:off x="6515100" y="1958416"/>
          <a:ext cx="3093720" cy="2941320"/>
          <a:chOff x="6225540" y="1905000"/>
          <a:chExt cx="3436620" cy="2941320"/>
        </a:xfrm>
      </xdr:grpSpPr>
      <xdr:sp macro="" textlink="">
        <xdr:nvSpPr>
          <xdr:cNvPr id="8" name="Rectangle: Rounded Corners 7">
            <a:extLst>
              <a:ext uri="{FF2B5EF4-FFF2-40B4-BE49-F238E27FC236}">
                <a16:creationId xmlns:a16="http://schemas.microsoft.com/office/drawing/2014/main" id="{F4B590EC-74D9-2D89-76AE-C937B56A587E}"/>
              </a:ext>
            </a:extLst>
          </xdr:cNvPr>
          <xdr:cNvSpPr/>
        </xdr:nvSpPr>
        <xdr:spPr>
          <a:xfrm>
            <a:off x="6225540" y="1905000"/>
            <a:ext cx="3436620" cy="2941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6" name="Chart 5">
            <a:extLst>
              <a:ext uri="{FF2B5EF4-FFF2-40B4-BE49-F238E27FC236}">
                <a16:creationId xmlns:a16="http://schemas.microsoft.com/office/drawing/2014/main" id="{E5C97AE7-CB43-423A-9A03-BA1F78AE90B7}"/>
              </a:ext>
            </a:extLst>
          </xdr:cNvPr>
          <xdr:cNvGraphicFramePr>
            <a:graphicFrameLocks/>
          </xdr:cNvGraphicFramePr>
        </xdr:nvGraphicFramePr>
        <xdr:xfrm>
          <a:off x="6440085" y="2080261"/>
          <a:ext cx="3039194" cy="262127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106445</xdr:colOff>
      <xdr:row>1</xdr:row>
      <xdr:rowOff>273</xdr:rowOff>
    </xdr:from>
    <xdr:to>
      <xdr:col>23</xdr:col>
      <xdr:colOff>47413</xdr:colOff>
      <xdr:row>8</xdr:row>
      <xdr:rowOff>79181</xdr:rowOff>
    </xdr:to>
    <xdr:grpSp>
      <xdr:nvGrpSpPr>
        <xdr:cNvPr id="50" name="Group 49">
          <a:extLst>
            <a:ext uri="{FF2B5EF4-FFF2-40B4-BE49-F238E27FC236}">
              <a16:creationId xmlns:a16="http://schemas.microsoft.com/office/drawing/2014/main" id="{E233FC88-4414-B54A-113D-23CA3BE32959}"/>
            </a:ext>
          </a:extLst>
        </xdr:cNvPr>
        <xdr:cNvGrpSpPr/>
      </xdr:nvGrpSpPr>
      <xdr:grpSpPr>
        <a:xfrm>
          <a:off x="8640845" y="137433"/>
          <a:ext cx="5427368" cy="1359068"/>
          <a:chOff x="8603082" y="172302"/>
          <a:chExt cx="5412714" cy="1620627"/>
        </a:xfrm>
      </xdr:grpSpPr>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451BD45A-94F5-4187-AA8C-CDAFE2CEA0C9}"/>
                  </a:ext>
                </a:extLst>
              </xdr:cNvPr>
              <xdr:cNvGraphicFramePr/>
            </xdr:nvGraphicFramePr>
            <xdr:xfrm>
              <a:off x="8670985" y="224580"/>
              <a:ext cx="5248503" cy="1538299"/>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08932" y="181274"/>
                <a:ext cx="5262712" cy="1290027"/>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sp macro="" textlink="">
        <xdr:nvSpPr>
          <xdr:cNvPr id="17" name="Rectangle: Rounded Corners 16">
            <a:extLst>
              <a:ext uri="{FF2B5EF4-FFF2-40B4-BE49-F238E27FC236}">
                <a16:creationId xmlns:a16="http://schemas.microsoft.com/office/drawing/2014/main" id="{82C8C1E0-D341-0486-05CC-614FDDFE2498}"/>
              </a:ext>
            </a:extLst>
          </xdr:cNvPr>
          <xdr:cNvSpPr/>
        </xdr:nvSpPr>
        <xdr:spPr>
          <a:xfrm>
            <a:off x="8603082" y="172302"/>
            <a:ext cx="5412714" cy="1620627"/>
          </a:xfrm>
          <a:prstGeom prst="roundRect">
            <a:avLst/>
          </a:prstGeom>
          <a:noFill/>
          <a:ln w="28575">
            <a:solidFill>
              <a:srgbClr val="5C83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0</xdr:col>
      <xdr:colOff>92364</xdr:colOff>
      <xdr:row>10</xdr:row>
      <xdr:rowOff>161636</xdr:rowOff>
    </xdr:from>
    <xdr:to>
      <xdr:col>10</xdr:col>
      <xdr:colOff>297180</xdr:colOff>
      <xdr:row>27</xdr:row>
      <xdr:rowOff>7696</xdr:rowOff>
    </xdr:to>
    <xdr:grpSp>
      <xdr:nvGrpSpPr>
        <xdr:cNvPr id="43" name="Group 42">
          <a:extLst>
            <a:ext uri="{FF2B5EF4-FFF2-40B4-BE49-F238E27FC236}">
              <a16:creationId xmlns:a16="http://schemas.microsoft.com/office/drawing/2014/main" id="{00CE9256-FA2D-A2BA-F890-16B1D4E1E9D0}"/>
            </a:ext>
          </a:extLst>
        </xdr:cNvPr>
        <xdr:cNvGrpSpPr/>
      </xdr:nvGrpSpPr>
      <xdr:grpSpPr>
        <a:xfrm>
          <a:off x="92364" y="1944716"/>
          <a:ext cx="6300816" cy="2955020"/>
          <a:chOff x="92364" y="1962727"/>
          <a:chExt cx="6003636" cy="2986424"/>
        </a:xfrm>
      </xdr:grpSpPr>
      <xdr:sp macro="" textlink="">
        <xdr:nvSpPr>
          <xdr:cNvPr id="42" name="Rectangle: Rounded Corners 41">
            <a:extLst>
              <a:ext uri="{FF2B5EF4-FFF2-40B4-BE49-F238E27FC236}">
                <a16:creationId xmlns:a16="http://schemas.microsoft.com/office/drawing/2014/main" id="{DA0D02B9-790A-FC69-1ED5-E82B633AE646}"/>
              </a:ext>
            </a:extLst>
          </xdr:cNvPr>
          <xdr:cNvSpPr/>
        </xdr:nvSpPr>
        <xdr:spPr>
          <a:xfrm>
            <a:off x="92364" y="1962727"/>
            <a:ext cx="6003636" cy="298642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graphicFrame macro="">
        <xdr:nvGraphicFramePr>
          <xdr:cNvPr id="4" name="Chart 3">
            <a:extLst>
              <a:ext uri="{FF2B5EF4-FFF2-40B4-BE49-F238E27FC236}">
                <a16:creationId xmlns:a16="http://schemas.microsoft.com/office/drawing/2014/main" id="{4B7ED6D2-DDCD-4D31-BC2C-D1CF7E6EB187}"/>
              </a:ext>
            </a:extLst>
          </xdr:cNvPr>
          <xdr:cNvGraphicFramePr>
            <a:graphicFrameLocks/>
          </xdr:cNvGraphicFramePr>
        </xdr:nvGraphicFramePr>
        <xdr:xfrm>
          <a:off x="328046" y="2069870"/>
          <a:ext cx="5552439" cy="274843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oneCellAnchor>
    <xdr:from>
      <xdr:col>0</xdr:col>
      <xdr:colOff>731520</xdr:colOff>
      <xdr:row>1</xdr:row>
      <xdr:rowOff>22861</xdr:rowOff>
    </xdr:from>
    <xdr:ext cx="3429000" cy="579119"/>
    <xdr:sp macro="" textlink="">
      <xdr:nvSpPr>
        <xdr:cNvPr id="5" name="TextBox 4">
          <a:extLst>
            <a:ext uri="{FF2B5EF4-FFF2-40B4-BE49-F238E27FC236}">
              <a16:creationId xmlns:a16="http://schemas.microsoft.com/office/drawing/2014/main" id="{2C6F4ADE-032A-7A66-24B3-EE527BD7D0C2}"/>
            </a:ext>
          </a:extLst>
        </xdr:cNvPr>
        <xdr:cNvSpPr txBox="1"/>
      </xdr:nvSpPr>
      <xdr:spPr>
        <a:xfrm>
          <a:off x="731520" y="205741"/>
          <a:ext cx="3429000" cy="579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CA" sz="2000" b="1">
              <a:solidFill>
                <a:srgbClr val="19370F"/>
              </a:solidFill>
              <a:latin typeface="+mn-lt"/>
              <a:ea typeface="+mn-ea"/>
              <a:cs typeface="+mn-cs"/>
            </a:rPr>
            <a:t>Budget vs. Actual Spend</a:t>
          </a:r>
        </a:p>
        <a:p>
          <a:pPr rtl="0"/>
          <a:r>
            <a:rPr lang="en-CA" sz="1050" b="0">
              <a:solidFill>
                <a:srgbClr val="19370F"/>
              </a:solidFill>
              <a:latin typeface="+mn-lt"/>
              <a:ea typeface="+mn-ea"/>
              <a:cs typeface="+mn-cs"/>
            </a:rPr>
            <a:t>FY2026 · January–August · Department &amp; Category Analysis</a:t>
          </a:r>
        </a:p>
        <a:p>
          <a:endParaRPr lang="en-CA" sz="1100"/>
        </a:p>
      </xdr:txBody>
    </xdr:sp>
    <xdr:clientData/>
  </xdr:oneCellAnchor>
  <xdr:twoCellAnchor>
    <xdr:from>
      <xdr:col>0</xdr:col>
      <xdr:colOff>227202</xdr:colOff>
      <xdr:row>5</xdr:row>
      <xdr:rowOff>144780</xdr:rowOff>
    </xdr:from>
    <xdr:to>
      <xdr:col>3</xdr:col>
      <xdr:colOff>495300</xdr:colOff>
      <xdr:row>10</xdr:row>
      <xdr:rowOff>8084</xdr:rowOff>
    </xdr:to>
    <xdr:grpSp>
      <xdr:nvGrpSpPr>
        <xdr:cNvPr id="38" name="Group 37">
          <a:extLst>
            <a:ext uri="{FF2B5EF4-FFF2-40B4-BE49-F238E27FC236}">
              <a16:creationId xmlns:a16="http://schemas.microsoft.com/office/drawing/2014/main" id="{D1308156-5DC8-DAAE-A766-1BF28FAEE6BB}"/>
            </a:ext>
          </a:extLst>
        </xdr:cNvPr>
        <xdr:cNvGrpSpPr/>
      </xdr:nvGrpSpPr>
      <xdr:grpSpPr>
        <a:xfrm>
          <a:off x="227202" y="1013460"/>
          <a:ext cx="2096898" cy="777704"/>
          <a:chOff x="227202" y="1022235"/>
          <a:chExt cx="2092280" cy="786940"/>
        </a:xfrm>
      </xdr:grpSpPr>
      <xdr:grpSp>
        <xdr:nvGrpSpPr>
          <xdr:cNvPr id="24" name="Group 23">
            <a:extLst>
              <a:ext uri="{FF2B5EF4-FFF2-40B4-BE49-F238E27FC236}">
                <a16:creationId xmlns:a16="http://schemas.microsoft.com/office/drawing/2014/main" id="{3A685969-C39B-243A-A835-A36161FEACA1}"/>
              </a:ext>
            </a:extLst>
          </xdr:cNvPr>
          <xdr:cNvGrpSpPr/>
        </xdr:nvGrpSpPr>
        <xdr:grpSpPr>
          <a:xfrm>
            <a:off x="227202" y="1022235"/>
            <a:ext cx="2092280" cy="786940"/>
            <a:chOff x="227202" y="1008147"/>
            <a:chExt cx="2092704" cy="772111"/>
          </a:xfrm>
        </xdr:grpSpPr>
        <xdr:sp macro="" textlink="">
          <xdr:nvSpPr>
            <xdr:cNvPr id="23" name="Rectangle: Rounded Corners 22">
              <a:extLst>
                <a:ext uri="{FF2B5EF4-FFF2-40B4-BE49-F238E27FC236}">
                  <a16:creationId xmlns:a16="http://schemas.microsoft.com/office/drawing/2014/main" id="{F2FAC34E-DD9D-467C-A015-20BF8A895686}"/>
                </a:ext>
              </a:extLst>
            </xdr:cNvPr>
            <xdr:cNvSpPr/>
          </xdr:nvSpPr>
          <xdr:spPr>
            <a:xfrm>
              <a:off x="227202" y="1010174"/>
              <a:ext cx="2053206" cy="770084"/>
            </a:xfrm>
            <a:prstGeom prst="roundRect">
              <a:avLst/>
            </a:prstGeom>
            <a:solidFill>
              <a:srgbClr val="5C8368"/>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6" name="Rectangle: Rounded Corners 15">
              <a:extLst>
                <a:ext uri="{FF2B5EF4-FFF2-40B4-BE49-F238E27FC236}">
                  <a16:creationId xmlns:a16="http://schemas.microsoft.com/office/drawing/2014/main" id="{A6733186-7247-4869-9439-45B1726BD00B}"/>
                </a:ext>
              </a:extLst>
            </xdr:cNvPr>
            <xdr:cNvSpPr/>
          </xdr:nvSpPr>
          <xdr:spPr>
            <a:xfrm>
              <a:off x="266700" y="1008147"/>
              <a:ext cx="205320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19" name="TextBox 18">
            <a:extLst>
              <a:ext uri="{FF2B5EF4-FFF2-40B4-BE49-F238E27FC236}">
                <a16:creationId xmlns:a16="http://schemas.microsoft.com/office/drawing/2014/main" id="{A60EAEC8-B709-1940-7EAB-5510C506D2B9}"/>
              </a:ext>
            </a:extLst>
          </xdr:cNvPr>
          <xdr:cNvSpPr txBox="1"/>
        </xdr:nvSpPr>
        <xdr:spPr>
          <a:xfrm>
            <a:off x="415029" y="1104757"/>
            <a:ext cx="1000374" cy="220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800" b="0">
                <a:solidFill>
                  <a:schemeClr val="bg2">
                    <a:lumMod val="50000"/>
                  </a:schemeClr>
                </a:solidFill>
                <a:latin typeface="+mn-lt"/>
                <a:ea typeface="+mn-ea"/>
                <a:cs typeface="+mn-cs"/>
              </a:rPr>
              <a:t>ACTUAL SPEND YTD</a:t>
            </a:r>
          </a:p>
        </xdr:txBody>
      </xdr:sp>
      <xdr:sp macro="" textlink="Analysis!C15">
        <xdr:nvSpPr>
          <xdr:cNvPr id="31" name="TextBox 30">
            <a:extLst>
              <a:ext uri="{FF2B5EF4-FFF2-40B4-BE49-F238E27FC236}">
                <a16:creationId xmlns:a16="http://schemas.microsoft.com/office/drawing/2014/main" id="{CD05B9A9-D50F-CBE7-BBDC-97380000A0BE}"/>
              </a:ext>
            </a:extLst>
          </xdr:cNvPr>
          <xdr:cNvSpPr txBox="1"/>
        </xdr:nvSpPr>
        <xdr:spPr>
          <a:xfrm>
            <a:off x="328972" y="1297912"/>
            <a:ext cx="1450522"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6D59946-D40B-4E27-97B1-C0E9697FD167}" type="TxLink">
              <a:rPr lang="en-US" sz="1600" b="1" i="0" u="none" strike="noStrike">
                <a:solidFill>
                  <a:srgbClr val="000000"/>
                </a:solidFill>
                <a:latin typeface="Aptos Narrow"/>
              </a:rPr>
              <a:pPr/>
              <a:t> $599,360.08 </a:t>
            </a:fld>
            <a:endParaRPr lang="en-CA" sz="2400" b="1"/>
          </a:p>
        </xdr:txBody>
      </xdr:sp>
    </xdr:grpSp>
    <xdr:clientData/>
  </xdr:twoCellAnchor>
  <xdr:twoCellAnchor>
    <xdr:from>
      <xdr:col>4</xdr:col>
      <xdr:colOff>62917</xdr:colOff>
      <xdr:row>5</xdr:row>
      <xdr:rowOff>144780</xdr:rowOff>
    </xdr:from>
    <xdr:to>
      <xdr:col>7</xdr:col>
      <xdr:colOff>325120</xdr:colOff>
      <xdr:row>10</xdr:row>
      <xdr:rowOff>8083</xdr:rowOff>
    </xdr:to>
    <xdr:grpSp>
      <xdr:nvGrpSpPr>
        <xdr:cNvPr id="39" name="Group 38">
          <a:extLst>
            <a:ext uri="{FF2B5EF4-FFF2-40B4-BE49-F238E27FC236}">
              <a16:creationId xmlns:a16="http://schemas.microsoft.com/office/drawing/2014/main" id="{683A6E1E-99AA-B132-2761-A5651C8B0201}"/>
            </a:ext>
          </a:extLst>
        </xdr:cNvPr>
        <xdr:cNvGrpSpPr/>
      </xdr:nvGrpSpPr>
      <xdr:grpSpPr>
        <a:xfrm>
          <a:off x="2501317" y="1013460"/>
          <a:ext cx="2091003" cy="777703"/>
          <a:chOff x="2495159" y="1022235"/>
          <a:chExt cx="2086385" cy="786939"/>
        </a:xfrm>
      </xdr:grpSpPr>
      <xdr:grpSp>
        <xdr:nvGrpSpPr>
          <xdr:cNvPr id="26" name="Group 25">
            <a:extLst>
              <a:ext uri="{FF2B5EF4-FFF2-40B4-BE49-F238E27FC236}">
                <a16:creationId xmlns:a16="http://schemas.microsoft.com/office/drawing/2014/main" id="{CC6C625E-9201-EF24-9CBA-A029A8C0A706}"/>
              </a:ext>
            </a:extLst>
          </xdr:cNvPr>
          <xdr:cNvGrpSpPr/>
        </xdr:nvGrpSpPr>
        <xdr:grpSpPr>
          <a:xfrm>
            <a:off x="2495159" y="1022235"/>
            <a:ext cx="2086385" cy="786939"/>
            <a:chOff x="2495724" y="1008147"/>
            <a:chExt cx="2086809" cy="772110"/>
          </a:xfrm>
        </xdr:grpSpPr>
        <xdr:sp macro="" textlink="">
          <xdr:nvSpPr>
            <xdr:cNvPr id="25" name="Rectangle: Rounded Corners 24">
              <a:extLst>
                <a:ext uri="{FF2B5EF4-FFF2-40B4-BE49-F238E27FC236}">
                  <a16:creationId xmlns:a16="http://schemas.microsoft.com/office/drawing/2014/main" id="{537AFA9E-2B0E-47F5-8B78-1E4F7724D8EF}"/>
                </a:ext>
              </a:extLst>
            </xdr:cNvPr>
            <xdr:cNvSpPr/>
          </xdr:nvSpPr>
          <xdr:spPr>
            <a:xfrm>
              <a:off x="2495724" y="1010173"/>
              <a:ext cx="2053206" cy="770084"/>
            </a:xfrm>
            <a:prstGeom prst="roundRect">
              <a:avLst/>
            </a:prstGeom>
            <a:solidFill>
              <a:srgbClr val="19370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3" name="Rectangle: Rounded Corners 12">
              <a:extLst>
                <a:ext uri="{FF2B5EF4-FFF2-40B4-BE49-F238E27FC236}">
                  <a16:creationId xmlns:a16="http://schemas.microsoft.com/office/drawing/2014/main" id="{39E73A87-28B1-4D22-A504-E0F5CE400640}"/>
                </a:ext>
              </a:extLst>
            </xdr:cNvPr>
            <xdr:cNvSpPr/>
          </xdr:nvSpPr>
          <xdr:spPr>
            <a:xfrm>
              <a:off x="2529327" y="1008147"/>
              <a:ext cx="205320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0" name="TextBox 19">
            <a:extLst>
              <a:ext uri="{FF2B5EF4-FFF2-40B4-BE49-F238E27FC236}">
                <a16:creationId xmlns:a16="http://schemas.microsoft.com/office/drawing/2014/main" id="{1FF42AD3-023D-A0ED-81E7-FD064AB845E6}"/>
              </a:ext>
            </a:extLst>
          </xdr:cNvPr>
          <xdr:cNvSpPr txBox="1"/>
        </xdr:nvSpPr>
        <xdr:spPr>
          <a:xfrm>
            <a:off x="2698941" y="1110143"/>
            <a:ext cx="71141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800" b="0">
                <a:solidFill>
                  <a:schemeClr val="bg2">
                    <a:lumMod val="50000"/>
                  </a:schemeClr>
                </a:solidFill>
                <a:latin typeface="+mn-lt"/>
                <a:ea typeface="+mn-ea"/>
                <a:cs typeface="+mn-cs"/>
              </a:rPr>
              <a:t>BUDGET YTD</a:t>
            </a:r>
          </a:p>
        </xdr:txBody>
      </xdr:sp>
      <xdr:sp macro="" textlink="Analysis!C16">
        <xdr:nvSpPr>
          <xdr:cNvPr id="34" name="TextBox 33">
            <a:extLst>
              <a:ext uri="{FF2B5EF4-FFF2-40B4-BE49-F238E27FC236}">
                <a16:creationId xmlns:a16="http://schemas.microsoft.com/office/drawing/2014/main" id="{B8DC87E5-BA63-BE39-5D50-35BFEC56831E}"/>
              </a:ext>
            </a:extLst>
          </xdr:cNvPr>
          <xdr:cNvSpPr txBox="1"/>
        </xdr:nvSpPr>
        <xdr:spPr>
          <a:xfrm>
            <a:off x="2630869" y="1297912"/>
            <a:ext cx="1304203"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1F24483-A05D-46E0-BC73-FB571485E8E8}" type="TxLink">
              <a:rPr lang="en-US" sz="1600" b="1" i="0" u="none" strike="noStrike">
                <a:solidFill>
                  <a:srgbClr val="000000"/>
                </a:solidFill>
                <a:latin typeface="Aptos Narrow"/>
                <a:ea typeface="+mn-ea"/>
                <a:cs typeface="+mn-cs"/>
              </a:rPr>
              <a:pPr marL="0" indent="0"/>
              <a:t> $576,427.92 </a:t>
            </a:fld>
            <a:endParaRPr lang="en-CA" sz="1600" b="1" i="0" u="none" strike="noStrike">
              <a:solidFill>
                <a:srgbClr val="000000"/>
              </a:solidFill>
              <a:latin typeface="Aptos Narrow"/>
              <a:ea typeface="+mn-ea"/>
              <a:cs typeface="+mn-cs"/>
            </a:endParaRPr>
          </a:p>
        </xdr:txBody>
      </xdr:sp>
    </xdr:grpSp>
    <xdr:clientData/>
  </xdr:twoCellAnchor>
  <xdr:twoCellAnchor>
    <xdr:from>
      <xdr:col>7</xdr:col>
      <xdr:colOff>492853</xdr:colOff>
      <xdr:row>5</xdr:row>
      <xdr:rowOff>144780</xdr:rowOff>
    </xdr:from>
    <xdr:to>
      <xdr:col>9</xdr:col>
      <xdr:colOff>589280</xdr:colOff>
      <xdr:row>10</xdr:row>
      <xdr:rowOff>8084</xdr:rowOff>
    </xdr:to>
    <xdr:grpSp>
      <xdr:nvGrpSpPr>
        <xdr:cNvPr id="40" name="Group 39">
          <a:extLst>
            <a:ext uri="{FF2B5EF4-FFF2-40B4-BE49-F238E27FC236}">
              <a16:creationId xmlns:a16="http://schemas.microsoft.com/office/drawing/2014/main" id="{8F6A5DEF-B45F-CCCA-8CE7-BA6F3CC2B353}"/>
            </a:ext>
          </a:extLst>
        </xdr:cNvPr>
        <xdr:cNvGrpSpPr/>
      </xdr:nvGrpSpPr>
      <xdr:grpSpPr>
        <a:xfrm>
          <a:off x="4760053" y="1013460"/>
          <a:ext cx="1315627" cy="777704"/>
          <a:chOff x="4749277" y="1022235"/>
          <a:chExt cx="1312548" cy="786940"/>
        </a:xfrm>
      </xdr:grpSpPr>
      <xdr:grpSp>
        <xdr:nvGrpSpPr>
          <xdr:cNvPr id="28" name="Group 27">
            <a:extLst>
              <a:ext uri="{FF2B5EF4-FFF2-40B4-BE49-F238E27FC236}">
                <a16:creationId xmlns:a16="http://schemas.microsoft.com/office/drawing/2014/main" id="{4B7304E8-132E-F738-049E-B791C6990006}"/>
              </a:ext>
            </a:extLst>
          </xdr:cNvPr>
          <xdr:cNvGrpSpPr/>
        </xdr:nvGrpSpPr>
        <xdr:grpSpPr>
          <a:xfrm>
            <a:off x="4749277" y="1022235"/>
            <a:ext cx="1312548" cy="786940"/>
            <a:chOff x="4750266" y="1008147"/>
            <a:chExt cx="1312831" cy="772111"/>
          </a:xfrm>
        </xdr:grpSpPr>
        <xdr:sp macro="" textlink="">
          <xdr:nvSpPr>
            <xdr:cNvPr id="27" name="Rectangle: Rounded Corners 26">
              <a:extLst>
                <a:ext uri="{FF2B5EF4-FFF2-40B4-BE49-F238E27FC236}">
                  <a16:creationId xmlns:a16="http://schemas.microsoft.com/office/drawing/2014/main" id="{5AC02E74-E892-4B8B-B4E2-7BD136953614}"/>
                </a:ext>
              </a:extLst>
            </xdr:cNvPr>
            <xdr:cNvSpPr/>
          </xdr:nvSpPr>
          <xdr:spPr>
            <a:xfrm>
              <a:off x="4750266" y="1010174"/>
              <a:ext cx="1269744" cy="770084"/>
            </a:xfrm>
            <a:prstGeom prst="roundRect">
              <a:avLst/>
            </a:prstGeom>
            <a:solidFill>
              <a:srgbClr val="C00000"/>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4" name="Rectangle: Rounded Corners 13">
              <a:extLst>
                <a:ext uri="{FF2B5EF4-FFF2-40B4-BE49-F238E27FC236}">
                  <a16:creationId xmlns:a16="http://schemas.microsoft.com/office/drawing/2014/main" id="{9941DD51-F042-49C8-9056-12B20C637B0C}"/>
                </a:ext>
              </a:extLst>
            </xdr:cNvPr>
            <xdr:cNvSpPr/>
          </xdr:nvSpPr>
          <xdr:spPr>
            <a:xfrm>
              <a:off x="4793353" y="1008147"/>
              <a:ext cx="1269744"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1" name="TextBox 20">
            <a:extLst>
              <a:ext uri="{FF2B5EF4-FFF2-40B4-BE49-F238E27FC236}">
                <a16:creationId xmlns:a16="http://schemas.microsoft.com/office/drawing/2014/main" id="{3889F099-7DA2-4AE9-C0FD-D12B4E9A9673}"/>
              </a:ext>
            </a:extLst>
          </xdr:cNvPr>
          <xdr:cNvSpPr txBox="1"/>
        </xdr:nvSpPr>
        <xdr:spPr>
          <a:xfrm>
            <a:off x="4895414" y="1106552"/>
            <a:ext cx="79271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800" b="0">
                <a:solidFill>
                  <a:schemeClr val="bg2">
                    <a:lumMod val="50000"/>
                  </a:schemeClr>
                </a:solidFill>
                <a:latin typeface="+mn-lt"/>
                <a:ea typeface="+mn-ea"/>
                <a:cs typeface="+mn-cs"/>
              </a:rPr>
              <a:t>YTD VARIANCE</a:t>
            </a:r>
          </a:p>
        </xdr:txBody>
      </xdr:sp>
      <xdr:sp macro="" textlink="Analysis!C17">
        <xdr:nvSpPr>
          <xdr:cNvPr id="35" name="TextBox 34">
            <a:extLst>
              <a:ext uri="{FF2B5EF4-FFF2-40B4-BE49-F238E27FC236}">
                <a16:creationId xmlns:a16="http://schemas.microsoft.com/office/drawing/2014/main" id="{B15CC520-96B9-7FA6-9585-B95F45A30F80}"/>
              </a:ext>
            </a:extLst>
          </xdr:cNvPr>
          <xdr:cNvSpPr txBox="1"/>
        </xdr:nvSpPr>
        <xdr:spPr>
          <a:xfrm>
            <a:off x="4932715" y="1297912"/>
            <a:ext cx="747647"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A03D0BA-0C52-45AA-B866-4492C93F27C9}" type="TxLink">
              <a:rPr lang="en-US" sz="1600" b="1" i="0" u="none" strike="noStrike">
                <a:solidFill>
                  <a:srgbClr val="000000"/>
                </a:solidFill>
                <a:latin typeface="Aptos Narrow"/>
                <a:ea typeface="+mn-ea"/>
                <a:cs typeface="+mn-cs"/>
              </a:rPr>
              <a:pPr marL="0" indent="0"/>
              <a:t>4.0%</a:t>
            </a:fld>
            <a:endParaRPr lang="en-US" sz="1600" b="1" i="0" u="none" strike="noStrike">
              <a:solidFill>
                <a:srgbClr val="000000"/>
              </a:solidFill>
              <a:latin typeface="Aptos Narrow"/>
              <a:ea typeface="+mn-ea"/>
              <a:cs typeface="+mn-cs"/>
            </a:endParaRPr>
          </a:p>
        </xdr:txBody>
      </xdr:sp>
    </xdr:grpSp>
    <xdr:clientData/>
  </xdr:twoCellAnchor>
  <xdr:twoCellAnchor>
    <xdr:from>
      <xdr:col>10</xdr:col>
      <xdr:colOff>153798</xdr:colOff>
      <xdr:row>5</xdr:row>
      <xdr:rowOff>144780</xdr:rowOff>
    </xdr:from>
    <xdr:to>
      <xdr:col>13</xdr:col>
      <xdr:colOff>518160</xdr:colOff>
      <xdr:row>10</xdr:row>
      <xdr:rowOff>8085</xdr:rowOff>
    </xdr:to>
    <xdr:grpSp>
      <xdr:nvGrpSpPr>
        <xdr:cNvPr id="41" name="Group 40">
          <a:extLst>
            <a:ext uri="{FF2B5EF4-FFF2-40B4-BE49-F238E27FC236}">
              <a16:creationId xmlns:a16="http://schemas.microsoft.com/office/drawing/2014/main" id="{02549C60-BDBD-681A-CE16-933127321CBC}"/>
            </a:ext>
          </a:extLst>
        </xdr:cNvPr>
        <xdr:cNvGrpSpPr/>
      </xdr:nvGrpSpPr>
      <xdr:grpSpPr>
        <a:xfrm>
          <a:off x="6249798" y="1013460"/>
          <a:ext cx="2193162" cy="777705"/>
          <a:chOff x="6234404" y="1022235"/>
          <a:chExt cx="2188544" cy="786941"/>
        </a:xfrm>
      </xdr:grpSpPr>
      <xdr:grpSp>
        <xdr:nvGrpSpPr>
          <xdr:cNvPr id="30" name="Group 29">
            <a:extLst>
              <a:ext uri="{FF2B5EF4-FFF2-40B4-BE49-F238E27FC236}">
                <a16:creationId xmlns:a16="http://schemas.microsoft.com/office/drawing/2014/main" id="{9CB023B5-E7F8-4E99-32FA-890675A8FF22}"/>
              </a:ext>
            </a:extLst>
          </xdr:cNvPr>
          <xdr:cNvGrpSpPr/>
        </xdr:nvGrpSpPr>
        <xdr:grpSpPr>
          <a:xfrm>
            <a:off x="6234404" y="1022235"/>
            <a:ext cx="2188544" cy="786941"/>
            <a:chOff x="6235816" y="1008147"/>
            <a:chExt cx="2188968" cy="772112"/>
          </a:xfrm>
        </xdr:grpSpPr>
        <xdr:sp macro="" textlink="">
          <xdr:nvSpPr>
            <xdr:cNvPr id="29" name="Rectangle: Rounded Corners 28">
              <a:extLst>
                <a:ext uri="{FF2B5EF4-FFF2-40B4-BE49-F238E27FC236}">
                  <a16:creationId xmlns:a16="http://schemas.microsoft.com/office/drawing/2014/main" id="{92E64AF5-7245-407D-A530-EDA93E1BBD10}"/>
                </a:ext>
              </a:extLst>
            </xdr:cNvPr>
            <xdr:cNvSpPr/>
          </xdr:nvSpPr>
          <xdr:spPr>
            <a:xfrm>
              <a:off x="6235816" y="1010175"/>
              <a:ext cx="2152266" cy="770084"/>
            </a:xfrm>
            <a:prstGeom prst="roundRect">
              <a:avLst/>
            </a:prstGeom>
            <a:solidFill>
              <a:schemeClr val="accent2"/>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5" name="Rectangle: Rounded Corners 14">
              <a:extLst>
                <a:ext uri="{FF2B5EF4-FFF2-40B4-BE49-F238E27FC236}">
                  <a16:creationId xmlns:a16="http://schemas.microsoft.com/office/drawing/2014/main" id="{8E1400FF-0E71-40CE-B36C-503A9353FF22}"/>
                </a:ext>
              </a:extLst>
            </xdr:cNvPr>
            <xdr:cNvSpPr/>
          </xdr:nvSpPr>
          <xdr:spPr>
            <a:xfrm>
              <a:off x="6272518" y="1008147"/>
              <a:ext cx="215226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2" name="TextBox 21">
            <a:extLst>
              <a:ext uri="{FF2B5EF4-FFF2-40B4-BE49-F238E27FC236}">
                <a16:creationId xmlns:a16="http://schemas.microsoft.com/office/drawing/2014/main" id="{58B27515-2686-E662-99B4-E9B8EFA222E1}"/>
              </a:ext>
            </a:extLst>
          </xdr:cNvPr>
          <xdr:cNvSpPr txBox="1"/>
        </xdr:nvSpPr>
        <xdr:spPr>
          <a:xfrm>
            <a:off x="6433816" y="1108347"/>
            <a:ext cx="1074886" cy="220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800" b="0">
                <a:solidFill>
                  <a:schemeClr val="bg2">
                    <a:lumMod val="50000"/>
                  </a:schemeClr>
                </a:solidFill>
                <a:latin typeface="+mn-lt"/>
                <a:ea typeface="+mn-ea"/>
                <a:cs typeface="+mn-cs"/>
              </a:rPr>
              <a:t>YEAR-END FORECAST</a:t>
            </a:r>
          </a:p>
        </xdr:txBody>
      </xdr:sp>
      <xdr:sp macro="" textlink="Analysis!C19">
        <xdr:nvSpPr>
          <xdr:cNvPr id="36" name="TextBox 35">
            <a:extLst>
              <a:ext uri="{FF2B5EF4-FFF2-40B4-BE49-F238E27FC236}">
                <a16:creationId xmlns:a16="http://schemas.microsoft.com/office/drawing/2014/main" id="{B8D7F52C-E34E-7DC1-A863-65C71AEC32C1}"/>
              </a:ext>
            </a:extLst>
          </xdr:cNvPr>
          <xdr:cNvSpPr txBox="1"/>
        </xdr:nvSpPr>
        <xdr:spPr>
          <a:xfrm>
            <a:off x="6370918" y="1297912"/>
            <a:ext cx="1304203"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1F38576-0688-4744-AC50-8341235AAE93}" type="TxLink">
              <a:rPr lang="en-US" sz="1600" b="1" i="0" u="none" strike="noStrike">
                <a:solidFill>
                  <a:srgbClr val="000000"/>
                </a:solidFill>
                <a:latin typeface="Aptos Narrow"/>
                <a:ea typeface="+mn-ea"/>
                <a:cs typeface="+mn-cs"/>
              </a:rPr>
              <a:pPr marL="0" indent="0"/>
              <a:t> $899,040.12 </a:t>
            </a:fld>
            <a:endParaRPr lang="en-CA" sz="1600" b="1" i="0" u="none" strike="noStrike">
              <a:solidFill>
                <a:srgbClr val="000000"/>
              </a:solidFill>
              <a:latin typeface="Aptos Narrow"/>
              <a:ea typeface="+mn-ea"/>
              <a:cs typeface="+mn-cs"/>
            </a:endParaRPr>
          </a:p>
        </xdr:txBody>
      </xdr:sp>
    </xdr:grpSp>
    <xdr:clientData/>
  </xdr:twoCellAnchor>
  <xdr:twoCellAnchor>
    <xdr:from>
      <xdr:col>0</xdr:col>
      <xdr:colOff>246303</xdr:colOff>
      <xdr:row>4</xdr:row>
      <xdr:rowOff>166563</xdr:rowOff>
    </xdr:from>
    <xdr:to>
      <xdr:col>13</xdr:col>
      <xdr:colOff>0</xdr:colOff>
      <xdr:row>4</xdr:row>
      <xdr:rowOff>166563</xdr:rowOff>
    </xdr:to>
    <xdr:cxnSp macro="">
      <xdr:nvCxnSpPr>
        <xdr:cNvPr id="54" name="Straight Connector 53">
          <a:extLst>
            <a:ext uri="{FF2B5EF4-FFF2-40B4-BE49-F238E27FC236}">
              <a16:creationId xmlns:a16="http://schemas.microsoft.com/office/drawing/2014/main" id="{CCCF0367-B07F-29FF-9A7C-BB57B4EBE180}"/>
            </a:ext>
          </a:extLst>
        </xdr:cNvPr>
        <xdr:cNvCxnSpPr/>
      </xdr:nvCxnSpPr>
      <xdr:spPr>
        <a:xfrm>
          <a:off x="246303" y="852363"/>
          <a:ext cx="767849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579120</xdr:colOff>
      <xdr:row>12</xdr:row>
      <xdr:rowOff>167716</xdr:rowOff>
    </xdr:from>
    <xdr:to>
      <xdr:col>23</xdr:col>
      <xdr:colOff>45720</xdr:colOff>
      <xdr:row>27</xdr:row>
      <xdr:rowOff>7696</xdr:rowOff>
    </xdr:to>
    <xdr:grpSp>
      <xdr:nvGrpSpPr>
        <xdr:cNvPr id="11" name="Group 10">
          <a:extLst>
            <a:ext uri="{FF2B5EF4-FFF2-40B4-BE49-F238E27FC236}">
              <a16:creationId xmlns:a16="http://schemas.microsoft.com/office/drawing/2014/main" id="{A8F20877-5F52-0545-8583-94CF9EF1F0F2}"/>
            </a:ext>
          </a:extLst>
        </xdr:cNvPr>
        <xdr:cNvGrpSpPr/>
      </xdr:nvGrpSpPr>
      <xdr:grpSpPr>
        <a:xfrm>
          <a:off x="9723120" y="2316556"/>
          <a:ext cx="4343400" cy="2583180"/>
          <a:chOff x="9723120" y="2286000"/>
          <a:chExt cx="4343400" cy="2583180"/>
        </a:xfrm>
      </xdr:grpSpPr>
      <xdr:sp macro="" textlink="">
        <xdr:nvSpPr>
          <xdr:cNvPr id="10" name="Rectangle: Rounded Corners 9">
            <a:extLst>
              <a:ext uri="{FF2B5EF4-FFF2-40B4-BE49-F238E27FC236}">
                <a16:creationId xmlns:a16="http://schemas.microsoft.com/office/drawing/2014/main" id="{C219694F-3208-3624-735D-0A5F2A030A03}"/>
              </a:ext>
            </a:extLst>
          </xdr:cNvPr>
          <xdr:cNvSpPr/>
        </xdr:nvSpPr>
        <xdr:spPr>
          <a:xfrm>
            <a:off x="9723120" y="2286000"/>
            <a:ext cx="4343400" cy="25831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2" name="Chart 1">
            <a:extLst>
              <a:ext uri="{FF2B5EF4-FFF2-40B4-BE49-F238E27FC236}">
                <a16:creationId xmlns:a16="http://schemas.microsoft.com/office/drawing/2014/main" id="{3300FD0F-5664-4F53-8CAF-77D1C0964D40}"/>
              </a:ext>
            </a:extLst>
          </xdr:cNvPr>
          <xdr:cNvGraphicFramePr>
            <a:graphicFrameLocks/>
          </xdr:cNvGraphicFramePr>
        </xdr:nvGraphicFramePr>
        <xdr:xfrm>
          <a:off x="9870285" y="2362200"/>
          <a:ext cx="4081935" cy="24612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15</xdr:col>
      <xdr:colOff>556260</xdr:colOff>
      <xdr:row>9</xdr:row>
      <xdr:rowOff>31172</xdr:rowOff>
    </xdr:from>
    <xdr:to>
      <xdr:col>23</xdr:col>
      <xdr:colOff>26672</xdr:colOff>
      <xdr:row>12</xdr:row>
      <xdr:rowOff>68580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DE4F984-BA24-490B-9B28-44A9A8066B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00260" y="1631372"/>
              <a:ext cx="4347212" cy="58604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20</xdr:row>
      <xdr:rowOff>148590</xdr:rowOff>
    </xdr:to>
    <xdr:graphicFrame macro="">
      <xdr:nvGraphicFramePr>
        <xdr:cNvPr id="2" name="Chart 1">
          <a:extLst>
            <a:ext uri="{FF2B5EF4-FFF2-40B4-BE49-F238E27FC236}">
              <a16:creationId xmlns:a16="http://schemas.microsoft.com/office/drawing/2014/main" id="{01A14510-EB58-4386-3512-C5C93DA45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C4CCBCA0-943E-3993-676E-563CD0664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271.756372337964" createdVersion="8" refreshedVersion="8" minRefreshableVersion="3" recordCount="244" xr:uid="{E034E656-F21D-448F-A264-D53BBFE14937}">
  <cacheSource type="worksheet">
    <worksheetSource name="raw_data"/>
  </cacheSource>
  <cacheFields count="8">
    <cacheField name="Source.Name" numFmtId="0">
      <sharedItems/>
    </cacheField>
    <cacheField name="Date" numFmtId="14">
      <sharedItems containsSemiMixedTypes="0" containsNonDate="0" containsDate="1" containsString="0" minDate="2026-01-01T00:00:00" maxDate="2026-08-29T00:00:00" count="146">
        <d v="2026-01-01T00:00:00"/>
        <d v="2026-01-02T00:00:00"/>
        <d v="2026-01-03T00:00:00"/>
        <d v="2026-01-04T00:00:00"/>
        <d v="2026-01-05T00:00:00"/>
        <d v="2026-01-07T00:00:00"/>
        <d v="2026-01-08T00:00:00"/>
        <d v="2026-01-09T00:00:00"/>
        <d v="2026-01-12T00:00:00"/>
        <d v="2026-01-13T00:00:00"/>
        <d v="2026-01-15T00:00:00"/>
        <d v="2026-01-18T00:00:00"/>
        <d v="2026-01-19T00:00:00"/>
        <d v="2026-01-21T00:00:00"/>
        <d v="2026-01-22T00:00:00"/>
        <d v="2026-01-25T00:00:00"/>
        <d v="2026-02-01T00:00:00"/>
        <d v="2026-02-03T00:00:00"/>
        <d v="2026-02-04T00:00:00"/>
        <d v="2026-02-05T00:00:00"/>
        <d v="2026-02-07T00:00:00"/>
        <d v="2026-02-08T00:00:00"/>
        <d v="2026-02-09T00:00:00"/>
        <d v="2026-02-11T00:00:00"/>
        <d v="2026-02-13T00:00:00"/>
        <d v="2026-02-15T00:00:00"/>
        <d v="2026-02-16T00:00:00"/>
        <d v="2026-02-17T00:00:00"/>
        <d v="2026-02-19T00:00:00"/>
        <d v="2026-02-21T00:00:00"/>
        <d v="2026-02-22T00:00:00"/>
        <d v="2026-02-23T00:00:00"/>
        <d v="2026-02-24T00:00:00"/>
        <d v="2026-02-26T00:00:00"/>
        <d v="2026-02-28T00:00:00"/>
        <d v="2026-03-02T00:00:00"/>
        <d v="2026-03-03T00:00:00"/>
        <d v="2026-03-05T00:00:00"/>
        <d v="2026-03-06T00:00:00"/>
        <d v="2026-03-07T00:00:00"/>
        <d v="2026-03-08T00:00:00"/>
        <d v="2026-03-10T00:00:00"/>
        <d v="2026-03-11T00:00:00"/>
        <d v="2026-03-13T00:00:00"/>
        <d v="2026-03-14T00:00:00"/>
        <d v="2026-03-15T00:00:00"/>
        <d v="2026-03-16T00:00:00"/>
        <d v="2026-03-21T00:00:00"/>
        <d v="2026-03-22T00:00:00"/>
        <d v="2026-03-24T00:00:00"/>
        <d v="2026-03-25T00:00:00"/>
        <d v="2026-03-26T00:00:00"/>
        <d v="2026-03-27T00:00:00"/>
        <d v="2026-03-28T00:00:00"/>
        <d v="2026-04-02T00:00:00"/>
        <d v="2026-04-03T00:00:00"/>
        <d v="2026-04-07T00:00:00"/>
        <d v="2026-04-08T00:00:00"/>
        <d v="2026-04-10T00:00:00"/>
        <d v="2026-04-12T00:00:00"/>
        <d v="2026-04-15T00:00:00"/>
        <d v="2026-04-16T00:00:00"/>
        <d v="2026-04-17T00:00:00"/>
        <d v="2026-04-19T00:00:00"/>
        <d v="2026-04-20T00:00:00"/>
        <d v="2026-04-23T00:00:00"/>
        <d v="2026-04-24T00:00:00"/>
        <d v="2026-04-25T00:00:00"/>
        <d v="2026-04-27T00:00:00"/>
        <d v="2026-04-28T00:00:00"/>
        <d v="2026-05-01T00:00:00"/>
        <d v="2026-05-02T00:00:00"/>
        <d v="2026-05-05T00:00:00"/>
        <d v="2026-05-06T00:00:00"/>
        <d v="2026-05-08T00:00:00"/>
        <d v="2026-05-09T00:00:00"/>
        <d v="2026-05-11T00:00:00"/>
        <d v="2026-05-13T00:00:00"/>
        <d v="2026-05-14T00:00:00"/>
        <d v="2026-05-15T00:00:00"/>
        <d v="2026-05-18T00:00:00"/>
        <d v="2026-05-20T00:00:00"/>
        <d v="2026-05-22T00:00:00"/>
        <d v="2026-05-23T00:00:00"/>
        <d v="2026-05-25T00:00:00"/>
        <d v="2026-05-27T00:00:00"/>
        <d v="2026-05-28T00:00:00"/>
        <d v="2026-06-01T00:00:00"/>
        <d v="2026-06-03T00:00:00"/>
        <d v="2026-06-04T00:00:00"/>
        <d v="2026-06-05T00:00:00"/>
        <d v="2026-06-08T00:00:00"/>
        <d v="2026-06-09T00:00:00"/>
        <d v="2026-06-12T00:00:00"/>
        <d v="2026-06-14T00:00:00"/>
        <d v="2026-06-15T00:00:00"/>
        <d v="2026-06-16T00:00:00"/>
        <d v="2026-06-18T00:00:00"/>
        <d v="2026-06-20T00:00:00"/>
        <d v="2026-06-21T00:00:00"/>
        <d v="2026-06-22T00:00:00"/>
        <d v="2026-06-24T00:00:00"/>
        <d v="2026-06-25T00:00:00"/>
        <d v="2026-06-26T00:00:00"/>
        <d v="2026-06-27T00:00:00"/>
        <d v="2026-06-28T00:00:00"/>
        <d v="2026-07-02T00:00:00"/>
        <d v="2026-07-03T00:00:00"/>
        <d v="2026-07-04T00:00:00"/>
        <d v="2026-07-06T00:00:00"/>
        <d v="2026-07-07T00:00:00"/>
        <d v="2026-07-10T00:00:00"/>
        <d v="2026-07-11T00:00:00"/>
        <d v="2026-07-13T00:00:00"/>
        <d v="2026-07-15T00:00:00"/>
        <d v="2026-07-16T00:00:00"/>
        <d v="2026-07-17T00:00:00"/>
        <d v="2026-07-19T00:00:00"/>
        <d v="2026-07-20T00:00:00"/>
        <d v="2026-07-21T00:00:00"/>
        <d v="2026-07-22T00:00:00"/>
        <d v="2026-07-23T00:00:00"/>
        <d v="2026-07-25T00:00:00"/>
        <d v="2026-07-26T00:00:00"/>
        <d v="2026-07-27T00:00:00"/>
        <d v="2026-07-28T00:00:00"/>
        <d v="2026-08-01T00:00:00"/>
        <d v="2026-08-02T00:00:00"/>
        <d v="2026-08-03T00:00:00"/>
        <d v="2026-08-04T00:00:00"/>
        <d v="2026-08-05T00:00:00"/>
        <d v="2026-08-08T00:00:00"/>
        <d v="2026-08-10T00:00:00"/>
        <d v="2026-08-12T00:00:00"/>
        <d v="2026-08-15T00:00:00"/>
        <d v="2026-08-16T00:00:00"/>
        <d v="2026-08-17T00:00:00"/>
        <d v="2026-08-18T00:00:00"/>
        <d v="2026-08-21T00:00:00"/>
        <d v="2026-08-22T00:00:00"/>
        <d v="2026-08-23T00:00:00"/>
        <d v="2026-08-24T00:00:00"/>
        <d v="2026-08-25T00:00:00"/>
        <d v="2026-08-26T00:00:00"/>
        <d v="2026-08-27T00:00:00"/>
        <d v="2026-08-28T00:00:00"/>
      </sharedItems>
      <fieldGroup par="7"/>
    </cacheField>
    <cacheField name="Department" numFmtId="0">
      <sharedItems count="5">
        <s v="SALES"/>
        <s v="HR"/>
        <s v="IT"/>
        <s v="OPERATIONS"/>
        <s v="MARKETING"/>
      </sharedItems>
    </cacheField>
    <cacheField name="Category" numFmtId="0">
      <sharedItems count="10">
        <s v="Travel"/>
        <s v="Recruiting"/>
        <s v="Software Licenses"/>
        <s v="Training"/>
        <s v="Hardware"/>
        <s v="Logistics"/>
        <s v="Supplies"/>
        <s v="Client Entertainment"/>
        <s v="Digital Advertising"/>
        <s v="Events &amp; Sponsorships"/>
      </sharedItems>
    </cacheField>
    <cacheField name="Vendor" numFmtId="0">
      <sharedItems count="10">
        <s v="Google Ads"/>
        <s v="Air Canada"/>
        <s v="Indeed.com"/>
        <s v="WeWork"/>
        <s v="Fedex"/>
        <s v="Uber For Business"/>
        <s v="Microsoft 365"/>
        <s v="Dell Technologies"/>
        <s v="LinkedIn Corp"/>
        <s v="Staples Inc"/>
      </sharedItems>
    </cacheField>
    <cacheField name="Amount" numFmtId="44">
      <sharedItems containsSemiMixedTypes="0" containsString="0" containsNumber="1" minValue="589.48" maxValue="8173.12"/>
    </cacheField>
    <cacheField name="Months (Date)" numFmtId="0" databaseField="0">
      <fieldGroup base="1">
        <rangePr groupBy="months" startDate="2026-01-01T00:00:00" endDate="2026-08-29T00:00:00"/>
        <groupItems count="14">
          <s v="&lt;2026-01-01"/>
          <s v="Jan"/>
          <s v="Feb"/>
          <s v="Mar"/>
          <s v="Apr"/>
          <s v="May"/>
          <s v="Jun"/>
          <s v="Jul"/>
          <s v="Aug"/>
          <s v="Sep"/>
          <s v="Oct"/>
          <s v="Nov"/>
          <s v="Dec"/>
          <s v="&gt;2026-08-29"/>
        </groupItems>
      </fieldGroup>
    </cacheField>
    <cacheField name="Years (Date)" numFmtId="0" databaseField="0">
      <fieldGroup base="1">
        <rangePr groupBy="years" startDate="2026-01-01T00:00:00" endDate="2026-08-29T00:00:00"/>
        <groupItems count="3">
          <s v="&lt;2026-01-01"/>
          <s v="2026"/>
          <s v="&gt;2026-08-29"/>
        </groupItems>
      </fieldGroup>
    </cacheField>
  </cacheFields>
  <extLst>
    <ext xmlns:x14="http://schemas.microsoft.com/office/spreadsheetml/2009/9/main" uri="{725AE2AE-9491-48be-B2B4-4EB974FC3084}">
      <x14:pivotCacheDefinition pivotCacheId="6818978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271.75637314815" createdVersion="8" refreshedVersion="8" minRefreshableVersion="3" recordCount="10" xr:uid="{D14A8002-2A4E-4F8B-A186-D2113861AC8B}">
  <cacheSource type="worksheet">
    <worksheetSource name="Table4"/>
  </cacheSource>
  <cacheFields count="15">
    <cacheField name="Category" numFmtId="0">
      <sharedItems count="10">
        <s v="Digital Advertising"/>
        <s v="Events &amp; Sponsorships"/>
        <s v="Supplies"/>
        <s v="Logistics"/>
        <s v="Software Licenses"/>
        <s v="Hardware"/>
        <s v="Recruiting"/>
        <s v="Training"/>
        <s v="Travel"/>
        <s v="Client Entertainment"/>
      </sharedItems>
    </cacheField>
    <cacheField name="Department" numFmtId="0">
      <sharedItems/>
    </cacheField>
    <cacheField name="Monthly Budget" numFmtId="44">
      <sharedItems containsSemiMixedTypes="0" containsString="0" containsNumber="1" minValue="4200.09" maxValue="11137.44"/>
    </cacheField>
    <cacheField name="Actual YTD (Jan-Aug)" numFmtId="44">
      <sharedItems containsSemiMixedTypes="0" containsString="0" containsNumber="1" minValue="33064.140000000007" maxValue="90222.109999999986"/>
    </cacheField>
    <cacheField name="Budget YTD (Jan-Aug)" numFmtId="44">
      <sharedItems containsSemiMixedTypes="0" containsString="0" containsNumber="1" minValue="33600.720000000001" maxValue="89099.520000000004"/>
    </cacheField>
    <cacheField name="YTD Variance $" numFmtId="44">
      <sharedItems containsSemiMixedTypes="0" containsString="0" containsNumber="1" minValue="-2082.8000000000029" maxValue="6293.8099999999904"/>
    </cacheField>
    <cacheField name="YTD Variance %" numFmtId="164">
      <sharedItems containsSemiMixedTypes="0" containsString="0" containsNumber="1" minValue="-2.7656794425087144E-2" maxValue="0.18731175998609526"/>
    </cacheField>
    <cacheField name="Annual Budget" numFmtId="44">
      <sharedItems containsSemiMixedTypes="0" containsString="0" containsNumber="1" minValue="50401.08" maxValue="133649.28"/>
    </cacheField>
    <cacheField name="Year-End Forecast" numFmtId="44">
      <sharedItems containsSemiMixedTypes="0" containsString="0" containsNumber="1" minValue="49596.210000000006" maxValue="135333.16499999998"/>
    </cacheField>
    <cacheField name="Forecast Variance $" numFmtId="44">
      <sharedItems containsSemiMixedTypes="0" containsString="0" containsNumber="1" minValue="-3124.2000000000116" maxValue="9440.714999999982"/>
    </cacheField>
    <cacheField name="Forecast Variance %" numFmtId="164">
      <sharedItems containsSemiMixedTypes="0" containsString="0" containsNumber="1" minValue="-2.7656794425087207E-2" maxValue="0.18731175998609517"/>
    </cacheField>
    <cacheField name="Forecast Status" numFmtId="44">
      <sharedItems/>
    </cacheField>
    <cacheField name="Average Monthly Actual" numFmtId="44">
      <sharedItems containsSemiMixedTypes="0" containsString="0" containsNumber="1" minValue="4133.0175000000008" maxValue="11277.763749999998"/>
    </cacheField>
    <cacheField name="Remaining Annual Budget" numFmtId="44">
      <sharedItems containsSemiMixedTypes="0" containsString="0" containsNumber="1" minValue="10506.55000000001" maxValue="43427.170000000013"/>
    </cacheField>
    <cacheField name="Allowable Monthly Spend Remaining" numFmtId="44">
      <sharedItems containsSemiMixedTypes="0" containsString="0" containsNumber="1" minValue="2626.6375000000025" maxValue="10856.7925000000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s v="actuals_jan_2026.csv"/>
    <x v="0"/>
    <x v="0"/>
    <x v="0"/>
    <x v="0"/>
    <n v="2472.66"/>
  </r>
  <r>
    <s v="actuals_jan_2026.csv"/>
    <x v="0"/>
    <x v="1"/>
    <x v="1"/>
    <x v="1"/>
    <n v="4192.68"/>
  </r>
  <r>
    <s v="actuals_jan_2026.csv"/>
    <x v="1"/>
    <x v="2"/>
    <x v="2"/>
    <x v="2"/>
    <n v="1958.38"/>
  </r>
  <r>
    <s v="actuals_jan_2026.csv"/>
    <x v="2"/>
    <x v="1"/>
    <x v="3"/>
    <x v="3"/>
    <n v="2185"/>
  </r>
  <r>
    <s v="actuals_jan_2026.csv"/>
    <x v="2"/>
    <x v="0"/>
    <x v="0"/>
    <x v="1"/>
    <n v="1992.9"/>
  </r>
  <r>
    <s v="actuals_jan_2026.csv"/>
    <x v="3"/>
    <x v="2"/>
    <x v="4"/>
    <x v="4"/>
    <n v="1863.3"/>
  </r>
  <r>
    <s v="actuals_jan_2026.csv"/>
    <x v="4"/>
    <x v="1"/>
    <x v="3"/>
    <x v="5"/>
    <n v="2435.09"/>
  </r>
  <r>
    <s v="actuals_jan_2026.csv"/>
    <x v="5"/>
    <x v="3"/>
    <x v="5"/>
    <x v="1"/>
    <n v="2889.98"/>
  </r>
  <r>
    <s v="actuals_jan_2026.csv"/>
    <x v="5"/>
    <x v="0"/>
    <x v="0"/>
    <x v="2"/>
    <n v="2239.77"/>
  </r>
  <r>
    <s v="actuals_jan_2026.csv"/>
    <x v="6"/>
    <x v="3"/>
    <x v="6"/>
    <x v="3"/>
    <n v="1368.86"/>
  </r>
  <r>
    <s v="actuals_jan_2026.csv"/>
    <x v="6"/>
    <x v="2"/>
    <x v="2"/>
    <x v="6"/>
    <n v="2438.79"/>
  </r>
  <r>
    <s v="actuals_jan_2026.csv"/>
    <x v="6"/>
    <x v="0"/>
    <x v="7"/>
    <x v="3"/>
    <n v="1991.74"/>
  </r>
  <r>
    <s v="actuals_jan_2026.csv"/>
    <x v="7"/>
    <x v="4"/>
    <x v="8"/>
    <x v="2"/>
    <n v="3930.96"/>
  </r>
  <r>
    <s v="actuals_jan_2026.csv"/>
    <x v="8"/>
    <x v="4"/>
    <x v="9"/>
    <x v="3"/>
    <n v="1174.8399999999999"/>
  </r>
  <r>
    <s v="actuals_jan_2026.csv"/>
    <x v="9"/>
    <x v="3"/>
    <x v="6"/>
    <x v="7"/>
    <n v="1636.34"/>
  </r>
  <r>
    <s v="actuals_jan_2026.csv"/>
    <x v="9"/>
    <x v="4"/>
    <x v="9"/>
    <x v="7"/>
    <n v="994.53"/>
  </r>
  <r>
    <s v="actuals_jan_2026.csv"/>
    <x v="10"/>
    <x v="2"/>
    <x v="4"/>
    <x v="0"/>
    <n v="1723.01"/>
  </r>
  <r>
    <s v="actuals_jan_2026.csv"/>
    <x v="10"/>
    <x v="2"/>
    <x v="4"/>
    <x v="8"/>
    <n v="1782.16"/>
  </r>
  <r>
    <s v="actuals_jan_2026.csv"/>
    <x v="11"/>
    <x v="4"/>
    <x v="8"/>
    <x v="1"/>
    <n v="4302.7"/>
  </r>
  <r>
    <s v="actuals_jan_2026.csv"/>
    <x v="11"/>
    <x v="2"/>
    <x v="4"/>
    <x v="5"/>
    <n v="2056.9699999999998"/>
  </r>
  <r>
    <s v="actuals_jan_2026.csv"/>
    <x v="11"/>
    <x v="1"/>
    <x v="1"/>
    <x v="4"/>
    <n v="5425.48"/>
  </r>
  <r>
    <s v="actuals_jan_2026.csv"/>
    <x v="11"/>
    <x v="2"/>
    <x v="2"/>
    <x v="4"/>
    <n v="2976.96"/>
  </r>
  <r>
    <s v="actuals_jan_2026.csv"/>
    <x v="12"/>
    <x v="0"/>
    <x v="7"/>
    <x v="2"/>
    <n v="2090.65"/>
  </r>
  <r>
    <s v="actuals_jan_2026.csv"/>
    <x v="13"/>
    <x v="0"/>
    <x v="0"/>
    <x v="0"/>
    <n v="3045.65"/>
  </r>
  <r>
    <s v="actuals_jan_2026.csv"/>
    <x v="13"/>
    <x v="2"/>
    <x v="2"/>
    <x v="1"/>
    <n v="3194.5"/>
  </r>
  <r>
    <s v="actuals_jan_2026.csv"/>
    <x v="14"/>
    <x v="3"/>
    <x v="6"/>
    <x v="8"/>
    <n v="1224.9000000000001"/>
  </r>
  <r>
    <s v="actuals_jan_2026.csv"/>
    <x v="14"/>
    <x v="3"/>
    <x v="6"/>
    <x v="1"/>
    <n v="994.95"/>
  </r>
  <r>
    <s v="actuals_jan_2026.csv"/>
    <x v="15"/>
    <x v="4"/>
    <x v="9"/>
    <x v="0"/>
    <n v="1064.21"/>
  </r>
  <r>
    <s v="actuals_jan_2026.csv"/>
    <x v="15"/>
    <x v="3"/>
    <x v="5"/>
    <x v="2"/>
    <n v="4048.68"/>
  </r>
  <r>
    <s v="actuals_feb_2026.csv"/>
    <x v="16"/>
    <x v="4"/>
    <x v="8"/>
    <x v="2"/>
    <n v="5328.33"/>
  </r>
  <r>
    <s v="actuals_feb_2026.csv"/>
    <x v="17"/>
    <x v="3"/>
    <x v="6"/>
    <x v="0"/>
    <n v="1368.69"/>
  </r>
  <r>
    <s v="actuals_feb_2026.csv"/>
    <x v="18"/>
    <x v="1"/>
    <x v="3"/>
    <x v="9"/>
    <n v="2312.1999999999998"/>
  </r>
  <r>
    <s v="actuals_feb_2026.csv"/>
    <x v="19"/>
    <x v="2"/>
    <x v="2"/>
    <x v="7"/>
    <n v="3750.25"/>
  </r>
  <r>
    <s v="actuals_feb_2026.csv"/>
    <x v="19"/>
    <x v="0"/>
    <x v="0"/>
    <x v="7"/>
    <n v="2132.35"/>
  </r>
  <r>
    <s v="actuals_feb_2026.csv"/>
    <x v="20"/>
    <x v="4"/>
    <x v="8"/>
    <x v="2"/>
    <n v="5156.84"/>
  </r>
  <r>
    <s v="actuals_feb_2026.csv"/>
    <x v="21"/>
    <x v="0"/>
    <x v="0"/>
    <x v="2"/>
    <n v="2232.88"/>
  </r>
  <r>
    <s v="actuals_feb_2026.csv"/>
    <x v="22"/>
    <x v="1"/>
    <x v="3"/>
    <x v="2"/>
    <n v="1736.57"/>
  </r>
  <r>
    <s v="actuals_feb_2026.csv"/>
    <x v="23"/>
    <x v="0"/>
    <x v="7"/>
    <x v="5"/>
    <n v="1233.98"/>
  </r>
  <r>
    <s v="actuals_feb_2026.csv"/>
    <x v="23"/>
    <x v="3"/>
    <x v="6"/>
    <x v="3"/>
    <n v="1360.31"/>
  </r>
  <r>
    <s v="actuals_feb_2026.csv"/>
    <x v="24"/>
    <x v="3"/>
    <x v="5"/>
    <x v="7"/>
    <n v="2443.02"/>
  </r>
  <r>
    <s v="actuals_feb_2026.csv"/>
    <x v="25"/>
    <x v="0"/>
    <x v="7"/>
    <x v="9"/>
    <n v="885.82"/>
  </r>
  <r>
    <s v="actuals_feb_2026.csv"/>
    <x v="26"/>
    <x v="4"/>
    <x v="9"/>
    <x v="9"/>
    <n v="3090.1"/>
  </r>
  <r>
    <s v="actuals_feb_2026.csv"/>
    <x v="27"/>
    <x v="3"/>
    <x v="6"/>
    <x v="8"/>
    <n v="2311.52"/>
  </r>
  <r>
    <s v="actuals_feb_2026.csv"/>
    <x v="27"/>
    <x v="3"/>
    <x v="5"/>
    <x v="7"/>
    <n v="3042.74"/>
  </r>
  <r>
    <s v="actuals_feb_2026.csv"/>
    <x v="28"/>
    <x v="3"/>
    <x v="6"/>
    <x v="4"/>
    <n v="2336.13"/>
  </r>
  <r>
    <s v="actuals_feb_2026.csv"/>
    <x v="28"/>
    <x v="2"/>
    <x v="2"/>
    <x v="1"/>
    <n v="4008.73"/>
  </r>
  <r>
    <s v="actuals_feb_2026.csv"/>
    <x v="29"/>
    <x v="1"/>
    <x v="1"/>
    <x v="5"/>
    <n v="5405.07"/>
  </r>
  <r>
    <s v="actuals_feb_2026.csv"/>
    <x v="30"/>
    <x v="2"/>
    <x v="4"/>
    <x v="0"/>
    <n v="2331.36"/>
  </r>
  <r>
    <s v="actuals_feb_2026.csv"/>
    <x v="31"/>
    <x v="0"/>
    <x v="7"/>
    <x v="1"/>
    <n v="859.64"/>
  </r>
  <r>
    <s v="actuals_feb_2026.csv"/>
    <x v="31"/>
    <x v="2"/>
    <x v="4"/>
    <x v="3"/>
    <n v="3181.12"/>
  </r>
  <r>
    <s v="actuals_feb_2026.csv"/>
    <x v="32"/>
    <x v="2"/>
    <x v="4"/>
    <x v="4"/>
    <n v="3270.13"/>
  </r>
  <r>
    <s v="actuals_feb_2026.csv"/>
    <x v="32"/>
    <x v="0"/>
    <x v="0"/>
    <x v="8"/>
    <n v="3471.58"/>
  </r>
  <r>
    <s v="actuals_feb_2026.csv"/>
    <x v="33"/>
    <x v="4"/>
    <x v="9"/>
    <x v="3"/>
    <n v="2419.7600000000002"/>
  </r>
  <r>
    <s v="actuals_feb_2026.csv"/>
    <x v="34"/>
    <x v="1"/>
    <x v="1"/>
    <x v="9"/>
    <n v="8173.12"/>
  </r>
  <r>
    <s v="actuals_mar_2026.csv"/>
    <x v="35"/>
    <x v="4"/>
    <x v="8"/>
    <x v="3"/>
    <n v="3190.03"/>
  </r>
  <r>
    <s v="actuals_mar_2026.csv"/>
    <x v="36"/>
    <x v="2"/>
    <x v="2"/>
    <x v="7"/>
    <n v="2367.9"/>
  </r>
  <r>
    <s v="actuals_mar_2026.csv"/>
    <x v="37"/>
    <x v="2"/>
    <x v="4"/>
    <x v="0"/>
    <n v="3019.37"/>
  </r>
  <r>
    <s v="actuals_mar_2026.csv"/>
    <x v="38"/>
    <x v="0"/>
    <x v="7"/>
    <x v="9"/>
    <n v="957.01"/>
  </r>
  <r>
    <s v="actuals_mar_2026.csv"/>
    <x v="38"/>
    <x v="2"/>
    <x v="2"/>
    <x v="5"/>
    <n v="2649.36"/>
  </r>
  <r>
    <s v="actuals_mar_2026.csv"/>
    <x v="39"/>
    <x v="3"/>
    <x v="6"/>
    <x v="6"/>
    <n v="1993.36"/>
  </r>
  <r>
    <s v="actuals_mar_2026.csv"/>
    <x v="40"/>
    <x v="1"/>
    <x v="1"/>
    <x v="6"/>
    <n v="4538.95"/>
  </r>
  <r>
    <s v="actuals_mar_2026.csv"/>
    <x v="40"/>
    <x v="0"/>
    <x v="7"/>
    <x v="8"/>
    <n v="589.48"/>
  </r>
  <r>
    <s v="actuals_mar_2026.csv"/>
    <x v="40"/>
    <x v="3"/>
    <x v="5"/>
    <x v="2"/>
    <n v="1816.12"/>
  </r>
  <r>
    <s v="actuals_mar_2026.csv"/>
    <x v="41"/>
    <x v="1"/>
    <x v="1"/>
    <x v="3"/>
    <n v="4868.72"/>
  </r>
  <r>
    <s v="actuals_mar_2026.csv"/>
    <x v="42"/>
    <x v="2"/>
    <x v="4"/>
    <x v="1"/>
    <n v="3828.63"/>
  </r>
  <r>
    <s v="actuals_mar_2026.csv"/>
    <x v="42"/>
    <x v="1"/>
    <x v="1"/>
    <x v="6"/>
    <n v="2759.77"/>
  </r>
  <r>
    <s v="actuals_mar_2026.csv"/>
    <x v="43"/>
    <x v="0"/>
    <x v="0"/>
    <x v="0"/>
    <n v="3404.09"/>
  </r>
  <r>
    <s v="actuals_mar_2026.csv"/>
    <x v="43"/>
    <x v="2"/>
    <x v="4"/>
    <x v="4"/>
    <n v="4840.59"/>
  </r>
  <r>
    <s v="actuals_mar_2026.csv"/>
    <x v="43"/>
    <x v="1"/>
    <x v="3"/>
    <x v="2"/>
    <n v="3206.65"/>
  </r>
  <r>
    <s v="actuals_mar_2026.csv"/>
    <x v="43"/>
    <x v="4"/>
    <x v="9"/>
    <x v="5"/>
    <n v="1410.72"/>
  </r>
  <r>
    <s v="actuals_mar_2026.csv"/>
    <x v="44"/>
    <x v="4"/>
    <x v="9"/>
    <x v="4"/>
    <n v="1051.6400000000001"/>
  </r>
  <r>
    <s v="actuals_mar_2026.csv"/>
    <x v="44"/>
    <x v="3"/>
    <x v="5"/>
    <x v="2"/>
    <n v="1355.21"/>
  </r>
  <r>
    <s v="actuals_mar_2026.csv"/>
    <x v="45"/>
    <x v="2"/>
    <x v="2"/>
    <x v="3"/>
    <n v="3477.6"/>
  </r>
  <r>
    <s v="actuals_mar_2026.csv"/>
    <x v="45"/>
    <x v="1"/>
    <x v="3"/>
    <x v="7"/>
    <n v="2455.4699999999998"/>
  </r>
  <r>
    <s v="actuals_mar_2026.csv"/>
    <x v="46"/>
    <x v="0"/>
    <x v="7"/>
    <x v="6"/>
    <n v="691.61"/>
  </r>
  <r>
    <s v="actuals_mar_2026.csv"/>
    <x v="47"/>
    <x v="3"/>
    <x v="6"/>
    <x v="5"/>
    <n v="2410.0100000000002"/>
  </r>
  <r>
    <s v="actuals_mar_2026.csv"/>
    <x v="48"/>
    <x v="4"/>
    <x v="9"/>
    <x v="3"/>
    <n v="1360.35"/>
  </r>
  <r>
    <s v="actuals_mar_2026.csv"/>
    <x v="48"/>
    <x v="4"/>
    <x v="8"/>
    <x v="0"/>
    <n v="2907.63"/>
  </r>
  <r>
    <s v="actuals_mar_2026.csv"/>
    <x v="49"/>
    <x v="0"/>
    <x v="0"/>
    <x v="0"/>
    <n v="3704.64"/>
  </r>
  <r>
    <s v="actuals_mar_2026.csv"/>
    <x v="49"/>
    <x v="4"/>
    <x v="8"/>
    <x v="2"/>
    <n v="4358.07"/>
  </r>
  <r>
    <s v="actuals_mar_2026.csv"/>
    <x v="50"/>
    <x v="0"/>
    <x v="7"/>
    <x v="0"/>
    <n v="918.46"/>
  </r>
  <r>
    <s v="actuals_mar_2026.csv"/>
    <x v="51"/>
    <x v="3"/>
    <x v="5"/>
    <x v="9"/>
    <n v="1514.86"/>
  </r>
  <r>
    <s v="actuals_mar_2026.csv"/>
    <x v="51"/>
    <x v="4"/>
    <x v="9"/>
    <x v="6"/>
    <n v="1119.01"/>
  </r>
  <r>
    <s v="actuals_mar_2026.csv"/>
    <x v="51"/>
    <x v="3"/>
    <x v="6"/>
    <x v="5"/>
    <n v="2403.88"/>
  </r>
  <r>
    <s v="actuals_mar_2026.csv"/>
    <x v="52"/>
    <x v="2"/>
    <x v="2"/>
    <x v="1"/>
    <n v="3151.87"/>
  </r>
  <r>
    <s v="actuals_mar_2026.csv"/>
    <x v="53"/>
    <x v="3"/>
    <x v="5"/>
    <x v="3"/>
    <n v="1885.03"/>
  </r>
  <r>
    <s v="actuals_apr_2026.csv"/>
    <x v="54"/>
    <x v="2"/>
    <x v="2"/>
    <x v="0"/>
    <n v="5343.37"/>
  </r>
  <r>
    <s v="actuals_apr_2026.csv"/>
    <x v="55"/>
    <x v="2"/>
    <x v="4"/>
    <x v="9"/>
    <n v="3958.53"/>
  </r>
  <r>
    <s v="actuals_apr_2026.csv"/>
    <x v="55"/>
    <x v="1"/>
    <x v="3"/>
    <x v="0"/>
    <n v="1371.45"/>
  </r>
  <r>
    <s v="actuals_apr_2026.csv"/>
    <x v="55"/>
    <x v="4"/>
    <x v="9"/>
    <x v="3"/>
    <n v="2239.29"/>
  </r>
  <r>
    <s v="actuals_apr_2026.csv"/>
    <x v="56"/>
    <x v="4"/>
    <x v="9"/>
    <x v="5"/>
    <n v="1427.94"/>
  </r>
  <r>
    <s v="actuals_apr_2026.csv"/>
    <x v="56"/>
    <x v="0"/>
    <x v="7"/>
    <x v="8"/>
    <n v="1382.94"/>
  </r>
  <r>
    <s v="actuals_apr_2026.csv"/>
    <x v="57"/>
    <x v="3"/>
    <x v="5"/>
    <x v="0"/>
    <n v="1366.25"/>
  </r>
  <r>
    <s v="actuals_apr_2026.csv"/>
    <x v="58"/>
    <x v="1"/>
    <x v="1"/>
    <x v="3"/>
    <n v="4851.3100000000004"/>
  </r>
  <r>
    <s v="actuals_apr_2026.csv"/>
    <x v="58"/>
    <x v="0"/>
    <x v="7"/>
    <x v="3"/>
    <n v="1147.69"/>
  </r>
  <r>
    <s v="actuals_apr_2026.csv"/>
    <x v="59"/>
    <x v="2"/>
    <x v="2"/>
    <x v="8"/>
    <n v="5424.71"/>
  </r>
  <r>
    <s v="actuals_apr_2026.csv"/>
    <x v="60"/>
    <x v="2"/>
    <x v="4"/>
    <x v="6"/>
    <n v="5056.71"/>
  </r>
  <r>
    <s v="actuals_apr_2026.csv"/>
    <x v="60"/>
    <x v="4"/>
    <x v="8"/>
    <x v="7"/>
    <n v="2234.44"/>
  </r>
  <r>
    <s v="actuals_apr_2026.csv"/>
    <x v="61"/>
    <x v="3"/>
    <x v="6"/>
    <x v="5"/>
    <n v="3925.67"/>
  </r>
  <r>
    <s v="actuals_apr_2026.csv"/>
    <x v="62"/>
    <x v="4"/>
    <x v="8"/>
    <x v="3"/>
    <n v="1545.56"/>
  </r>
  <r>
    <s v="actuals_apr_2026.csv"/>
    <x v="63"/>
    <x v="3"/>
    <x v="5"/>
    <x v="5"/>
    <n v="1338.32"/>
  </r>
  <r>
    <s v="actuals_apr_2026.csv"/>
    <x v="63"/>
    <x v="4"/>
    <x v="8"/>
    <x v="9"/>
    <n v="2206.62"/>
  </r>
  <r>
    <s v="actuals_apr_2026.csv"/>
    <x v="64"/>
    <x v="1"/>
    <x v="3"/>
    <x v="1"/>
    <n v="1712.92"/>
  </r>
  <r>
    <s v="actuals_apr_2026.csv"/>
    <x v="64"/>
    <x v="0"/>
    <x v="0"/>
    <x v="5"/>
    <n v="2689.37"/>
  </r>
  <r>
    <s v="actuals_apr_2026.csv"/>
    <x v="64"/>
    <x v="1"/>
    <x v="1"/>
    <x v="3"/>
    <n v="5416.81"/>
  </r>
  <r>
    <s v="actuals_apr_2026.csv"/>
    <x v="65"/>
    <x v="3"/>
    <x v="6"/>
    <x v="6"/>
    <n v="3006.7"/>
  </r>
  <r>
    <s v="actuals_apr_2026.csv"/>
    <x v="65"/>
    <x v="4"/>
    <x v="9"/>
    <x v="3"/>
    <n v="2167.56"/>
  </r>
  <r>
    <s v="actuals_apr_2026.csv"/>
    <x v="65"/>
    <x v="0"/>
    <x v="0"/>
    <x v="5"/>
    <n v="3115.86"/>
  </r>
  <r>
    <s v="actuals_apr_2026.csv"/>
    <x v="66"/>
    <x v="3"/>
    <x v="5"/>
    <x v="5"/>
    <n v="1476.49"/>
  </r>
  <r>
    <s v="actuals_apr_2026.csv"/>
    <x v="67"/>
    <x v="3"/>
    <x v="5"/>
    <x v="6"/>
    <n v="1770.81"/>
  </r>
  <r>
    <s v="actuals_apr_2026.csv"/>
    <x v="68"/>
    <x v="0"/>
    <x v="7"/>
    <x v="0"/>
    <n v="1236.3599999999999"/>
  </r>
  <r>
    <s v="actuals_apr_2026.csv"/>
    <x v="68"/>
    <x v="0"/>
    <x v="7"/>
    <x v="5"/>
    <n v="1456.28"/>
  </r>
  <r>
    <s v="actuals_apr_2026.csv"/>
    <x v="68"/>
    <x v="4"/>
    <x v="8"/>
    <x v="1"/>
    <n v="2323.15"/>
  </r>
  <r>
    <s v="actuals_apr_2026.csv"/>
    <x v="69"/>
    <x v="1"/>
    <x v="3"/>
    <x v="4"/>
    <n v="1542.07"/>
  </r>
  <r>
    <s v="actuals_may_2026.csv"/>
    <x v="70"/>
    <x v="3"/>
    <x v="5"/>
    <x v="4"/>
    <n v="1486.99"/>
  </r>
  <r>
    <s v="actuals_may_2026.csv"/>
    <x v="70"/>
    <x v="2"/>
    <x v="4"/>
    <x v="0"/>
    <n v="6167.28"/>
  </r>
  <r>
    <s v="actuals_may_2026.csv"/>
    <x v="71"/>
    <x v="4"/>
    <x v="9"/>
    <x v="6"/>
    <n v="1304.77"/>
  </r>
  <r>
    <s v="actuals_may_2026.csv"/>
    <x v="71"/>
    <x v="1"/>
    <x v="3"/>
    <x v="7"/>
    <n v="2599.17"/>
  </r>
  <r>
    <s v="actuals_may_2026.csv"/>
    <x v="72"/>
    <x v="1"/>
    <x v="3"/>
    <x v="8"/>
    <n v="1935.49"/>
  </r>
  <r>
    <s v="actuals_may_2026.csv"/>
    <x v="73"/>
    <x v="0"/>
    <x v="7"/>
    <x v="5"/>
    <n v="2017.85"/>
  </r>
  <r>
    <s v="actuals_may_2026.csv"/>
    <x v="74"/>
    <x v="1"/>
    <x v="1"/>
    <x v="0"/>
    <n v="4844.1099999999997"/>
  </r>
  <r>
    <s v="actuals_may_2026.csv"/>
    <x v="75"/>
    <x v="3"/>
    <x v="5"/>
    <x v="3"/>
    <n v="2105.9699999999998"/>
  </r>
  <r>
    <s v="actuals_may_2026.csv"/>
    <x v="75"/>
    <x v="4"/>
    <x v="8"/>
    <x v="9"/>
    <n v="2173.06"/>
  </r>
  <r>
    <s v="actuals_may_2026.csv"/>
    <x v="76"/>
    <x v="2"/>
    <x v="2"/>
    <x v="2"/>
    <n v="2391.0500000000002"/>
  </r>
  <r>
    <s v="actuals_may_2026.csv"/>
    <x v="76"/>
    <x v="1"/>
    <x v="1"/>
    <x v="9"/>
    <n v="4199.41"/>
  </r>
  <r>
    <s v="actuals_may_2026.csv"/>
    <x v="77"/>
    <x v="3"/>
    <x v="5"/>
    <x v="8"/>
    <n v="1781.62"/>
  </r>
  <r>
    <s v="actuals_may_2026.csv"/>
    <x v="77"/>
    <x v="0"/>
    <x v="0"/>
    <x v="4"/>
    <n v="3360.27"/>
  </r>
  <r>
    <s v="actuals_may_2026.csv"/>
    <x v="77"/>
    <x v="4"/>
    <x v="8"/>
    <x v="6"/>
    <n v="3168.08"/>
  </r>
  <r>
    <s v="actuals_may_2026.csv"/>
    <x v="78"/>
    <x v="0"/>
    <x v="7"/>
    <x v="1"/>
    <n v="1975.54"/>
  </r>
  <r>
    <s v="actuals_may_2026.csv"/>
    <x v="79"/>
    <x v="0"/>
    <x v="0"/>
    <x v="9"/>
    <n v="2477.9499999999998"/>
  </r>
  <r>
    <s v="actuals_may_2026.csv"/>
    <x v="79"/>
    <x v="4"/>
    <x v="9"/>
    <x v="9"/>
    <n v="1677.85"/>
  </r>
  <r>
    <s v="actuals_may_2026.csv"/>
    <x v="80"/>
    <x v="2"/>
    <x v="2"/>
    <x v="3"/>
    <n v="2036.99"/>
  </r>
  <r>
    <s v="actuals_may_2026.csv"/>
    <x v="81"/>
    <x v="1"/>
    <x v="1"/>
    <x v="3"/>
    <n v="3887.21"/>
  </r>
  <r>
    <s v="actuals_may_2026.csv"/>
    <x v="81"/>
    <x v="4"/>
    <x v="9"/>
    <x v="3"/>
    <n v="1714.28"/>
  </r>
  <r>
    <s v="actuals_may_2026.csv"/>
    <x v="82"/>
    <x v="2"/>
    <x v="2"/>
    <x v="9"/>
    <n v="2404.7800000000002"/>
  </r>
  <r>
    <s v="actuals_may_2026.csv"/>
    <x v="83"/>
    <x v="1"/>
    <x v="3"/>
    <x v="5"/>
    <n v="2419.5500000000002"/>
  </r>
  <r>
    <s v="actuals_may_2026.csv"/>
    <x v="83"/>
    <x v="3"/>
    <x v="6"/>
    <x v="6"/>
    <n v="3349.05"/>
  </r>
  <r>
    <s v="actuals_may_2026.csv"/>
    <x v="84"/>
    <x v="4"/>
    <x v="9"/>
    <x v="8"/>
    <n v="1435.7"/>
  </r>
  <r>
    <s v="actuals_may_2026.csv"/>
    <x v="84"/>
    <x v="2"/>
    <x v="2"/>
    <x v="2"/>
    <n v="2168.58"/>
  </r>
  <r>
    <s v="actuals_may_2026.csv"/>
    <x v="85"/>
    <x v="3"/>
    <x v="6"/>
    <x v="8"/>
    <n v="2534.1"/>
  </r>
  <r>
    <s v="actuals_may_2026.csv"/>
    <x v="86"/>
    <x v="4"/>
    <x v="8"/>
    <x v="5"/>
    <n v="3181.16"/>
  </r>
  <r>
    <s v="actuals_may_2026.csv"/>
    <x v="86"/>
    <x v="0"/>
    <x v="7"/>
    <x v="4"/>
    <n v="2369.9"/>
  </r>
  <r>
    <s v="actuals_may_2026.csv"/>
    <x v="86"/>
    <x v="2"/>
    <x v="4"/>
    <x v="3"/>
    <n v="5216.37"/>
  </r>
  <r>
    <s v="actuals_jun_2026.csv"/>
    <x v="87"/>
    <x v="1"/>
    <x v="1"/>
    <x v="2"/>
    <n v="2220.7800000000002"/>
  </r>
  <r>
    <s v="actuals_jun_2026.csv"/>
    <x v="87"/>
    <x v="2"/>
    <x v="4"/>
    <x v="2"/>
    <n v="2167.2600000000002"/>
  </r>
  <r>
    <s v="actuals_jun_2026.csv"/>
    <x v="88"/>
    <x v="2"/>
    <x v="2"/>
    <x v="9"/>
    <n v="7794.96"/>
  </r>
  <r>
    <s v="actuals_jun_2026.csv"/>
    <x v="88"/>
    <x v="0"/>
    <x v="0"/>
    <x v="8"/>
    <n v="2380.3200000000002"/>
  </r>
  <r>
    <s v="actuals_jun_2026.csv"/>
    <x v="89"/>
    <x v="4"/>
    <x v="9"/>
    <x v="2"/>
    <n v="1147.08"/>
  </r>
  <r>
    <s v="actuals_jun_2026.csv"/>
    <x v="89"/>
    <x v="0"/>
    <x v="7"/>
    <x v="0"/>
    <n v="695.03"/>
  </r>
  <r>
    <s v="actuals_jun_2026.csv"/>
    <x v="89"/>
    <x v="0"/>
    <x v="7"/>
    <x v="6"/>
    <n v="739.11"/>
  </r>
  <r>
    <s v="actuals_jun_2026.csv"/>
    <x v="89"/>
    <x v="3"/>
    <x v="6"/>
    <x v="6"/>
    <n v="2162.65"/>
  </r>
  <r>
    <s v="actuals_jun_2026.csv"/>
    <x v="90"/>
    <x v="2"/>
    <x v="4"/>
    <x v="8"/>
    <n v="1782.6"/>
  </r>
  <r>
    <s v="actuals_jun_2026.csv"/>
    <x v="91"/>
    <x v="3"/>
    <x v="6"/>
    <x v="6"/>
    <n v="1527.73"/>
  </r>
  <r>
    <s v="actuals_jun_2026.csv"/>
    <x v="91"/>
    <x v="1"/>
    <x v="1"/>
    <x v="5"/>
    <n v="2212.5300000000002"/>
  </r>
  <r>
    <s v="actuals_jun_2026.csv"/>
    <x v="91"/>
    <x v="3"/>
    <x v="5"/>
    <x v="3"/>
    <n v="1658.48"/>
  </r>
  <r>
    <s v="actuals_jun_2026.csv"/>
    <x v="91"/>
    <x v="2"/>
    <x v="2"/>
    <x v="0"/>
    <n v="7648.54"/>
  </r>
  <r>
    <s v="actuals_jun_2026.csv"/>
    <x v="92"/>
    <x v="1"/>
    <x v="3"/>
    <x v="7"/>
    <n v="1290.3699999999999"/>
  </r>
  <r>
    <s v="actuals_jun_2026.csv"/>
    <x v="92"/>
    <x v="3"/>
    <x v="5"/>
    <x v="6"/>
    <n v="2167.29"/>
  </r>
  <r>
    <s v="actuals_jun_2026.csv"/>
    <x v="92"/>
    <x v="4"/>
    <x v="8"/>
    <x v="5"/>
    <n v="6015.09"/>
  </r>
  <r>
    <s v="actuals_jun_2026.csv"/>
    <x v="93"/>
    <x v="4"/>
    <x v="9"/>
    <x v="9"/>
    <n v="1594.3"/>
  </r>
  <r>
    <s v="actuals_jun_2026.csv"/>
    <x v="94"/>
    <x v="4"/>
    <x v="8"/>
    <x v="7"/>
    <n v="5291.76"/>
  </r>
  <r>
    <s v="actuals_jun_2026.csv"/>
    <x v="95"/>
    <x v="4"/>
    <x v="9"/>
    <x v="2"/>
    <n v="1579.73"/>
  </r>
  <r>
    <s v="actuals_jun_2026.csv"/>
    <x v="95"/>
    <x v="1"/>
    <x v="1"/>
    <x v="0"/>
    <n v="1681.57"/>
  </r>
  <r>
    <s v="actuals_jun_2026.csv"/>
    <x v="96"/>
    <x v="1"/>
    <x v="1"/>
    <x v="0"/>
    <n v="2532.5100000000002"/>
  </r>
  <r>
    <s v="actuals_jun_2026.csv"/>
    <x v="97"/>
    <x v="0"/>
    <x v="7"/>
    <x v="7"/>
    <n v="1061"/>
  </r>
  <r>
    <s v="actuals_jun_2026.csv"/>
    <x v="98"/>
    <x v="3"/>
    <x v="6"/>
    <x v="5"/>
    <n v="2058.0500000000002"/>
  </r>
  <r>
    <s v="actuals_jun_2026.csv"/>
    <x v="98"/>
    <x v="1"/>
    <x v="3"/>
    <x v="4"/>
    <n v="1620.43"/>
  </r>
  <r>
    <s v="actuals_jun_2026.csv"/>
    <x v="99"/>
    <x v="3"/>
    <x v="5"/>
    <x v="2"/>
    <n v="2112.08"/>
  </r>
  <r>
    <s v="actuals_jun_2026.csv"/>
    <x v="99"/>
    <x v="3"/>
    <x v="5"/>
    <x v="1"/>
    <n v="2128.84"/>
  </r>
  <r>
    <s v="actuals_jun_2026.csv"/>
    <x v="100"/>
    <x v="0"/>
    <x v="0"/>
    <x v="0"/>
    <n v="3015.26"/>
  </r>
  <r>
    <s v="actuals_jun_2026.csv"/>
    <x v="101"/>
    <x v="3"/>
    <x v="6"/>
    <x v="4"/>
    <n v="1831.29"/>
  </r>
  <r>
    <s v="actuals_jun_2026.csv"/>
    <x v="102"/>
    <x v="0"/>
    <x v="7"/>
    <x v="4"/>
    <n v="1019.52"/>
  </r>
  <r>
    <s v="actuals_jun_2026.csv"/>
    <x v="103"/>
    <x v="4"/>
    <x v="9"/>
    <x v="9"/>
    <n v="1710.41"/>
  </r>
  <r>
    <s v="actuals_jun_2026.csv"/>
    <x v="103"/>
    <x v="1"/>
    <x v="3"/>
    <x v="2"/>
    <n v="1672.04"/>
  </r>
  <r>
    <s v="actuals_jun_2026.csv"/>
    <x v="104"/>
    <x v="0"/>
    <x v="0"/>
    <x v="7"/>
    <n v="2990.75"/>
  </r>
  <r>
    <s v="actuals_jun_2026.csv"/>
    <x v="105"/>
    <x v="2"/>
    <x v="4"/>
    <x v="9"/>
    <n v="1706.89"/>
  </r>
  <r>
    <s v="actuals_jun_2026.csv"/>
    <x v="105"/>
    <x v="2"/>
    <x v="4"/>
    <x v="1"/>
    <n v="1576"/>
  </r>
  <r>
    <s v="actuals_jul_2026.csv"/>
    <x v="106"/>
    <x v="4"/>
    <x v="8"/>
    <x v="2"/>
    <n v="4143.1099999999997"/>
  </r>
  <r>
    <s v="actuals_jul_2026.csv"/>
    <x v="106"/>
    <x v="1"/>
    <x v="1"/>
    <x v="3"/>
    <n v="2970"/>
  </r>
  <r>
    <s v="actuals_jul_2026.csv"/>
    <x v="107"/>
    <x v="3"/>
    <x v="6"/>
    <x v="4"/>
    <n v="1761.32"/>
  </r>
  <r>
    <s v="actuals_jul_2026.csv"/>
    <x v="108"/>
    <x v="3"/>
    <x v="5"/>
    <x v="4"/>
    <n v="2155.44"/>
  </r>
  <r>
    <s v="actuals_jul_2026.csv"/>
    <x v="109"/>
    <x v="2"/>
    <x v="2"/>
    <x v="3"/>
    <n v="2122.2399999999998"/>
  </r>
  <r>
    <s v="actuals_jul_2026.csv"/>
    <x v="110"/>
    <x v="2"/>
    <x v="2"/>
    <x v="8"/>
    <n v="1858.16"/>
  </r>
  <r>
    <s v="actuals_jul_2026.csv"/>
    <x v="111"/>
    <x v="1"/>
    <x v="3"/>
    <x v="9"/>
    <n v="1202.94"/>
  </r>
  <r>
    <s v="actuals_jul_2026.csv"/>
    <x v="111"/>
    <x v="1"/>
    <x v="3"/>
    <x v="7"/>
    <n v="1450.11"/>
  </r>
  <r>
    <s v="actuals_jul_2026.csv"/>
    <x v="111"/>
    <x v="0"/>
    <x v="0"/>
    <x v="3"/>
    <n v="5155.21"/>
  </r>
  <r>
    <s v="actuals_jul_2026.csv"/>
    <x v="112"/>
    <x v="1"/>
    <x v="1"/>
    <x v="9"/>
    <n v="2979.36"/>
  </r>
  <r>
    <s v="actuals_jul_2026.csv"/>
    <x v="112"/>
    <x v="0"/>
    <x v="7"/>
    <x v="4"/>
    <n v="876.14"/>
  </r>
  <r>
    <s v="actuals_jul_2026.csv"/>
    <x v="113"/>
    <x v="3"/>
    <x v="6"/>
    <x v="3"/>
    <n v="1994.53"/>
  </r>
  <r>
    <s v="actuals_jul_2026.csv"/>
    <x v="114"/>
    <x v="4"/>
    <x v="8"/>
    <x v="0"/>
    <n v="3563.46"/>
  </r>
  <r>
    <s v="actuals_jul_2026.csv"/>
    <x v="115"/>
    <x v="2"/>
    <x v="4"/>
    <x v="4"/>
    <n v="2959.03"/>
  </r>
  <r>
    <s v="actuals_jul_2026.csv"/>
    <x v="116"/>
    <x v="2"/>
    <x v="4"/>
    <x v="9"/>
    <n v="2252.46"/>
  </r>
  <r>
    <s v="actuals_jul_2026.csv"/>
    <x v="117"/>
    <x v="4"/>
    <x v="8"/>
    <x v="8"/>
    <n v="4191.41"/>
  </r>
  <r>
    <s v="actuals_jul_2026.csv"/>
    <x v="117"/>
    <x v="3"/>
    <x v="5"/>
    <x v="5"/>
    <n v="1918.21"/>
  </r>
  <r>
    <s v="actuals_jul_2026.csv"/>
    <x v="118"/>
    <x v="4"/>
    <x v="9"/>
    <x v="1"/>
    <n v="1174.52"/>
  </r>
  <r>
    <s v="actuals_jul_2026.csv"/>
    <x v="119"/>
    <x v="1"/>
    <x v="3"/>
    <x v="3"/>
    <n v="1537.23"/>
  </r>
  <r>
    <s v="actuals_jul_2026.csv"/>
    <x v="119"/>
    <x v="2"/>
    <x v="2"/>
    <x v="6"/>
    <n v="2997.08"/>
  </r>
  <r>
    <s v="actuals_jul_2026.csv"/>
    <x v="119"/>
    <x v="2"/>
    <x v="4"/>
    <x v="8"/>
    <n v="3188.78"/>
  </r>
  <r>
    <s v="actuals_jul_2026.csv"/>
    <x v="120"/>
    <x v="4"/>
    <x v="9"/>
    <x v="9"/>
    <n v="1227.6300000000001"/>
  </r>
  <r>
    <s v="actuals_jul_2026.csv"/>
    <x v="120"/>
    <x v="0"/>
    <x v="0"/>
    <x v="7"/>
    <n v="3086.56"/>
  </r>
  <r>
    <s v="actuals_jul_2026.csv"/>
    <x v="120"/>
    <x v="1"/>
    <x v="3"/>
    <x v="2"/>
    <n v="980.99"/>
  </r>
  <r>
    <s v="actuals_jul_2026.csv"/>
    <x v="121"/>
    <x v="3"/>
    <x v="5"/>
    <x v="0"/>
    <n v="2213.12"/>
  </r>
  <r>
    <s v="actuals_jul_2026.csv"/>
    <x v="122"/>
    <x v="0"/>
    <x v="7"/>
    <x v="8"/>
    <n v="1004.49"/>
  </r>
  <r>
    <s v="actuals_jul_2026.csv"/>
    <x v="122"/>
    <x v="2"/>
    <x v="2"/>
    <x v="0"/>
    <n v="1925.31"/>
  </r>
  <r>
    <s v="actuals_jul_2026.csv"/>
    <x v="122"/>
    <x v="4"/>
    <x v="9"/>
    <x v="9"/>
    <n v="1637.52"/>
  </r>
  <r>
    <s v="actuals_jul_2026.csv"/>
    <x v="123"/>
    <x v="1"/>
    <x v="1"/>
    <x v="4"/>
    <n v="2862.2"/>
  </r>
  <r>
    <s v="actuals_jul_2026.csv"/>
    <x v="123"/>
    <x v="3"/>
    <x v="6"/>
    <x v="2"/>
    <n v="2971.7"/>
  </r>
  <r>
    <s v="actuals_jul_2026.csv"/>
    <x v="123"/>
    <x v="1"/>
    <x v="1"/>
    <x v="3"/>
    <n v="2649.53"/>
  </r>
  <r>
    <s v="actuals_jul_2026.csv"/>
    <x v="124"/>
    <x v="2"/>
    <x v="4"/>
    <x v="4"/>
    <n v="2253.79"/>
  </r>
  <r>
    <s v="actuals_jul_2026.csv"/>
    <x v="125"/>
    <x v="0"/>
    <x v="7"/>
    <x v="3"/>
    <n v="904.81"/>
  </r>
  <r>
    <s v="actuals_aug_2026.csv"/>
    <x v="126"/>
    <x v="0"/>
    <x v="0"/>
    <x v="9"/>
    <n v="2513.4"/>
  </r>
  <r>
    <s v="actuals_aug_2026.csv"/>
    <x v="127"/>
    <x v="0"/>
    <x v="0"/>
    <x v="7"/>
    <n v="2881.08"/>
  </r>
  <r>
    <s v="actuals_aug_2026.csv"/>
    <x v="128"/>
    <x v="4"/>
    <x v="9"/>
    <x v="0"/>
    <n v="953.24"/>
  </r>
  <r>
    <s v="actuals_aug_2026.csv"/>
    <x v="128"/>
    <x v="1"/>
    <x v="1"/>
    <x v="5"/>
    <n v="4269.6400000000003"/>
  </r>
  <r>
    <s v="actuals_aug_2026.csv"/>
    <x v="128"/>
    <x v="4"/>
    <x v="9"/>
    <x v="3"/>
    <n v="1093.93"/>
  </r>
  <r>
    <s v="actuals_aug_2026.csv"/>
    <x v="128"/>
    <x v="0"/>
    <x v="0"/>
    <x v="2"/>
    <n v="2192.81"/>
  </r>
  <r>
    <s v="actuals_aug_2026.csv"/>
    <x v="129"/>
    <x v="0"/>
    <x v="7"/>
    <x v="3"/>
    <n v="1368.3"/>
  </r>
  <r>
    <s v="actuals_aug_2026.csv"/>
    <x v="130"/>
    <x v="3"/>
    <x v="6"/>
    <x v="7"/>
    <n v="1461.14"/>
  </r>
  <r>
    <s v="actuals_aug_2026.csv"/>
    <x v="131"/>
    <x v="0"/>
    <x v="0"/>
    <x v="2"/>
    <n v="1760.26"/>
  </r>
  <r>
    <s v="actuals_aug_2026.csv"/>
    <x v="132"/>
    <x v="0"/>
    <x v="7"/>
    <x v="0"/>
    <n v="2089.7600000000002"/>
  </r>
  <r>
    <s v="actuals_aug_2026.csv"/>
    <x v="132"/>
    <x v="1"/>
    <x v="3"/>
    <x v="8"/>
    <n v="1139.08"/>
  </r>
  <r>
    <s v="actuals_aug_2026.csv"/>
    <x v="133"/>
    <x v="2"/>
    <x v="2"/>
    <x v="0"/>
    <n v="2385.38"/>
  </r>
  <r>
    <s v="actuals_aug_2026.csv"/>
    <x v="133"/>
    <x v="1"/>
    <x v="3"/>
    <x v="2"/>
    <n v="1414.85"/>
  </r>
  <r>
    <s v="actuals_aug_2026.csv"/>
    <x v="133"/>
    <x v="2"/>
    <x v="2"/>
    <x v="6"/>
    <n v="1996.19"/>
  </r>
  <r>
    <s v="actuals_aug_2026.csv"/>
    <x v="133"/>
    <x v="4"/>
    <x v="8"/>
    <x v="2"/>
    <n v="2259.11"/>
  </r>
  <r>
    <s v="actuals_aug_2026.csv"/>
    <x v="134"/>
    <x v="1"/>
    <x v="1"/>
    <x v="8"/>
    <n v="3532.25"/>
  </r>
  <r>
    <s v="actuals_aug_2026.csv"/>
    <x v="135"/>
    <x v="3"/>
    <x v="6"/>
    <x v="4"/>
    <n v="2078.0700000000002"/>
  </r>
  <r>
    <s v="actuals_aug_2026.csv"/>
    <x v="135"/>
    <x v="1"/>
    <x v="1"/>
    <x v="0"/>
    <n v="3749.1"/>
  </r>
  <r>
    <s v="actuals_aug_2026.csv"/>
    <x v="136"/>
    <x v="4"/>
    <x v="8"/>
    <x v="1"/>
    <n v="1639.58"/>
  </r>
  <r>
    <s v="actuals_aug_2026.csv"/>
    <x v="136"/>
    <x v="4"/>
    <x v="8"/>
    <x v="8"/>
    <n v="2139.17"/>
  </r>
  <r>
    <s v="actuals_aug_2026.csv"/>
    <x v="137"/>
    <x v="0"/>
    <x v="7"/>
    <x v="1"/>
    <n v="1501.03"/>
  </r>
  <r>
    <s v="actuals_aug_2026.csv"/>
    <x v="138"/>
    <x v="4"/>
    <x v="8"/>
    <x v="0"/>
    <n v="1613.62"/>
  </r>
  <r>
    <s v="actuals_aug_2026.csv"/>
    <x v="138"/>
    <x v="3"/>
    <x v="6"/>
    <x v="0"/>
    <n v="1457.51"/>
  </r>
  <r>
    <s v="actuals_aug_2026.csv"/>
    <x v="138"/>
    <x v="4"/>
    <x v="9"/>
    <x v="9"/>
    <n v="1231.33"/>
  </r>
  <r>
    <s v="actuals_aug_2026.csv"/>
    <x v="139"/>
    <x v="3"/>
    <x v="5"/>
    <x v="3"/>
    <n v="2567.2600000000002"/>
  </r>
  <r>
    <s v="actuals_aug_2026.csv"/>
    <x v="140"/>
    <x v="2"/>
    <x v="4"/>
    <x v="5"/>
    <n v="1579.34"/>
  </r>
  <r>
    <s v="actuals_aug_2026.csv"/>
    <x v="141"/>
    <x v="2"/>
    <x v="2"/>
    <x v="7"/>
    <n v="2320.77"/>
  </r>
  <r>
    <s v="actuals_aug_2026.csv"/>
    <x v="142"/>
    <x v="3"/>
    <x v="6"/>
    <x v="9"/>
    <n v="1649.22"/>
  </r>
  <r>
    <s v="actuals_aug_2026.csv"/>
    <x v="143"/>
    <x v="2"/>
    <x v="4"/>
    <x v="5"/>
    <n v="1660.33"/>
  </r>
  <r>
    <s v="actuals_aug_2026.csv"/>
    <x v="143"/>
    <x v="1"/>
    <x v="3"/>
    <x v="7"/>
    <n v="1098.4100000000001"/>
  </r>
  <r>
    <s v="actuals_aug_2026.csv"/>
    <x v="143"/>
    <x v="3"/>
    <x v="5"/>
    <x v="2"/>
    <n v="3243.72"/>
  </r>
  <r>
    <s v="actuals_aug_2026.csv"/>
    <x v="144"/>
    <x v="2"/>
    <x v="4"/>
    <x v="1"/>
    <n v="2041.1"/>
  </r>
  <r>
    <s v="actuals_aug_2026.csv"/>
    <x v="144"/>
    <x v="4"/>
    <x v="9"/>
    <x v="6"/>
    <n v="892.29"/>
  </r>
  <r>
    <s v="actuals_aug_2026.csv"/>
    <x v="145"/>
    <x v="2"/>
    <x v="4"/>
    <x v="0"/>
    <n v="1762.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MARKETING"/>
    <n v="9115.41"/>
    <n v="76862.94"/>
    <n v="72923.28"/>
    <n v="3939.6600000000035"/>
    <n v="5.4024722969125957E-2"/>
    <n v="109384.92"/>
    <n v="115294.41"/>
    <n v="5909.4900000000052"/>
    <n v="5.4024722969125957E-2"/>
    <s v="Needs Attention"/>
    <n v="9607.8675000000003"/>
    <n v="32521.979999999996"/>
    <n v="8130.494999999999"/>
  </r>
  <r>
    <x v="1"/>
    <s v="MARKETING"/>
    <n v="4200.09"/>
    <n v="39894.529999999992"/>
    <n v="33600.720000000001"/>
    <n v="6293.8099999999904"/>
    <n v="0.18731175998609526"/>
    <n v="50401.08"/>
    <n v="59841.794999999984"/>
    <n v="9440.714999999982"/>
    <n v="0.18731175998609517"/>
    <s v="Critical"/>
    <n v="4986.8162499999989"/>
    <n v="10506.55000000001"/>
    <n v="2626.6375000000025"/>
  </r>
  <r>
    <x v="2"/>
    <s v="OPERATIONS"/>
    <n v="6200.23"/>
    <n v="53177.680000000008"/>
    <n v="49601.84"/>
    <n v="3575.8400000000111"/>
    <n v="7.2090874048221024E-2"/>
    <n v="74402.759999999995"/>
    <n v="79766.520000000019"/>
    <n v="5363.7600000000239"/>
    <n v="7.2090874048221121E-2"/>
    <s v="Needs Attention"/>
    <n v="6647.2100000000009"/>
    <n v="21225.079999999987"/>
    <n v="5306.2699999999968"/>
  </r>
  <r>
    <x v="3"/>
    <s v="OPERATIONS"/>
    <n v="5785.69"/>
    <n v="50486.530000000006"/>
    <n v="46285.52"/>
    <n v="4201.0100000000093"/>
    <n v="9.0762942708648611E-2"/>
    <n v="69428.28"/>
    <n v="75729.795000000013"/>
    <n v="6301.515000000014"/>
    <n v="9.0762942708648611E-2"/>
    <s v="Needs Attention"/>
    <n v="6310.8162500000008"/>
    <n v="18941.749999999993"/>
    <n v="4735.4374999999982"/>
  </r>
  <r>
    <x v="4"/>
    <s v="IT"/>
    <n v="9891.77"/>
    <n v="80792.450000000012"/>
    <n v="79134.16"/>
    <n v="1658.2900000000081"/>
    <n v="2.095542557095454E-2"/>
    <n v="118701.24"/>
    <n v="121188.67500000002"/>
    <n v="2487.4350000000122"/>
    <n v="2.095542557095454E-2"/>
    <s v="Within Limit"/>
    <n v="10099.056250000001"/>
    <n v="37908.789999999994"/>
    <n v="9477.1974999999984"/>
  </r>
  <r>
    <x v="5"/>
    <s v="IT"/>
    <n v="9413.6"/>
    <n v="73226"/>
    <n v="75308.800000000003"/>
    <n v="-2082.8000000000029"/>
    <n v="-2.7656794425087144E-2"/>
    <n v="112963.20000000001"/>
    <n v="109839"/>
    <n v="-3124.2000000000116"/>
    <n v="-2.7656794425087207E-2"/>
    <s v="On/Under Budget"/>
    <n v="9153.25"/>
    <n v="39737.200000000012"/>
    <n v="9934.3000000000029"/>
  </r>
  <r>
    <x v="6"/>
    <s v="HR"/>
    <n v="11137.44"/>
    <n v="90222.109999999986"/>
    <n v="89099.520000000004"/>
    <n v="1122.589999999982"/>
    <n v="1.2599282240801993E-2"/>
    <n v="133649.28"/>
    <n v="135333.16499999998"/>
    <n v="1683.8849999999802"/>
    <n v="1.2599282240802047E-2"/>
    <s v="Within Limit"/>
    <n v="11277.763749999998"/>
    <n v="43427.170000000013"/>
    <n v="10856.792500000003"/>
  </r>
  <r>
    <x v="7"/>
    <s v="HR"/>
    <n v="4695.51"/>
    <n v="39318.080000000002"/>
    <n v="37564.080000000002"/>
    <n v="1754"/>
    <n v="4.669354340636054E-2"/>
    <n v="56346.12"/>
    <n v="58977.120000000003"/>
    <n v="2631"/>
    <n v="4.669354340636054E-2"/>
    <s v="Within Limit"/>
    <n v="4914.76"/>
    <n v="17028.04"/>
    <n v="4257.01"/>
  </r>
  <r>
    <x v="8"/>
    <s v="SALES"/>
    <n v="7375.37"/>
    <n v="62315.619999999995"/>
    <n v="59002.96"/>
    <n v="3312.6599999999962"/>
    <n v="5.6143962946943612E-2"/>
    <n v="88504.44"/>
    <n v="93473.43"/>
    <n v="4968.9899999999907"/>
    <n v="5.6143962946943571E-2"/>
    <s v="Needs Attention"/>
    <n v="7789.4524999999994"/>
    <n v="26188.820000000007"/>
    <n v="6547.2050000000017"/>
  </r>
  <r>
    <x v="9"/>
    <s v="SALES"/>
    <n v="4238.38"/>
    <n v="33064.140000000007"/>
    <n v="33907.040000000001"/>
    <n v="-842.89999999999418"/>
    <n v="-2.4859144295697713E-2"/>
    <n v="50860.56"/>
    <n v="49596.210000000006"/>
    <n v="-1264.3499999999913"/>
    <n v="-2.4859144295697713E-2"/>
    <s v="On/Under Budget"/>
    <n v="4133.0175000000008"/>
    <n v="17796.419999999991"/>
    <n v="4449.10499999999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AA6B6-DA37-4B5F-84D4-99E4D2F61436}"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Category">
  <location ref="A3:B14"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axis="axisRow" showAll="0" sortType="descending">
      <items count="11">
        <item x="7"/>
        <item x="8"/>
        <item x="9"/>
        <item x="4"/>
        <item x="5"/>
        <item x="1"/>
        <item x="2"/>
        <item x="6"/>
        <item x="3"/>
        <item x="0"/>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11">
    <i>
      <x v="5"/>
    </i>
    <i>
      <x v="6"/>
    </i>
    <i>
      <x v="1"/>
    </i>
    <i>
      <x v="3"/>
    </i>
    <i>
      <x v="9"/>
    </i>
    <i>
      <x v="7"/>
    </i>
    <i>
      <x v="4"/>
    </i>
    <i>
      <x v="2"/>
    </i>
    <i>
      <x v="8"/>
    </i>
    <i>
      <x/>
    </i>
    <i t="grand">
      <x/>
    </i>
  </rowItems>
  <colItems count="1">
    <i/>
  </colItems>
  <dataFields count="1">
    <dataField name="Actual Spend" fld="5" baseField="3" baseItem="0" numFmtId="44"/>
  </dataFields>
  <chartFormats count="1">
    <chartFormat chart="0" format="0"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4D0E4-ADA2-4787-AF26-02CB479E4578}"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Departments">
  <location ref="A3:B9"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6">
    <i>
      <x v="1"/>
    </i>
    <i>
      <x/>
    </i>
    <i>
      <x v="2"/>
    </i>
    <i>
      <x v="3"/>
    </i>
    <i>
      <x v="4"/>
    </i>
    <i t="grand">
      <x/>
    </i>
  </rowItems>
  <colItems count="1">
    <i/>
  </colItems>
  <dataFields count="1">
    <dataField name="Actual Spend   " fld="5" baseField="2" baseItem="0" numFmtId="44"/>
  </dataFields>
  <chartFormats count="1">
    <chartFormat chart="0" format="0"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9228E-4F5A-4CFD-AB8F-BDA27AE472D9}" name="PivotTable1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Date">
  <location ref="A3:B13"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showAll="0"/>
    <pivotField showAll="0"/>
    <pivotField dataField="1" numFmtId="44"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7"/>
    <field x="6"/>
  </rowFields>
  <rowItems count="10">
    <i>
      <x v="1"/>
    </i>
    <i r="1">
      <x v="1"/>
    </i>
    <i r="1">
      <x v="2"/>
    </i>
    <i r="1">
      <x v="3"/>
    </i>
    <i r="1">
      <x v="4"/>
    </i>
    <i r="1">
      <x v="5"/>
    </i>
    <i r="1">
      <x v="6"/>
    </i>
    <i r="1">
      <x v="7"/>
    </i>
    <i r="1">
      <x v="8"/>
    </i>
    <i t="grand">
      <x/>
    </i>
  </rowItems>
  <colItems count="1">
    <i/>
  </colItems>
  <dataFields count="1">
    <dataField name="Actual Spend " fld="5" baseField="7" baseItem="1" numFmtId="44"/>
  </dataField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3">
          <reference field="4294967294" count="1" selected="0">
            <x v="0"/>
          </reference>
          <reference field="6" count="1" selected="0">
            <x v="3"/>
          </reference>
          <reference field="7" count="1" selected="0">
            <x v="1"/>
          </reference>
        </references>
      </pivotArea>
    </chartFormat>
    <chartFormat chart="13" format="8">
      <pivotArea type="data" outline="0" fieldPosition="0">
        <references count="3">
          <reference field="4294967294" count="1" selected="0">
            <x v="0"/>
          </reference>
          <reference field="6" count="1" selected="0">
            <x v="6"/>
          </reference>
          <reference field="7" count="1" selected="0">
            <x v="1"/>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9440B-1138-4B5F-9A6D-8D9B39546C05}"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Vendor">
  <location ref="A3:B9"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showAll="0"/>
    <pivotField axis="axisRow" showAll="0" measureFilter="1" sortType="descending">
      <items count="11">
        <item x="1"/>
        <item x="7"/>
        <item x="4"/>
        <item x="0"/>
        <item x="2"/>
        <item x="8"/>
        <item x="6"/>
        <item x="9"/>
        <item x="5"/>
        <item x="3"/>
        <item t="default"/>
      </items>
      <autoSortScope>
        <pivotArea dataOnly="0" outline="0" fieldPosition="0">
          <references count="1">
            <reference field="4294967294" count="1" selected="0">
              <x v="0"/>
            </reference>
          </references>
        </pivotArea>
      </autoSortScope>
    </pivotField>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6">
    <i>
      <x v="9"/>
    </i>
    <i>
      <x v="3"/>
    </i>
    <i>
      <x v="4"/>
    </i>
    <i>
      <x v="7"/>
    </i>
    <i>
      <x v="8"/>
    </i>
    <i t="grand">
      <x/>
    </i>
  </rowItems>
  <colItems count="1">
    <i/>
  </colItems>
  <dataFields count="1">
    <dataField name="Amount Spent " fld="5" baseField="4" baseItem="9" numFmtId="44"/>
  </dataFields>
  <chartFormats count="1">
    <chartFormat chart="26" format="3"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D97FC-9C04-493F-B97B-932B4B15969E}" name="PivotTable1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ies">
  <location ref="A3:C14" firstHeaderRow="0" firstDataRow="1" firstDataCol="1"/>
  <pivotFields count="15">
    <pivotField axis="axisRow" showAll="0">
      <items count="11">
        <item x="9"/>
        <item x="0"/>
        <item x="1"/>
        <item x="5"/>
        <item x="3"/>
        <item x="6"/>
        <item x="4"/>
        <item x="2"/>
        <item x="7"/>
        <item x="8"/>
        <item t="default"/>
      </items>
    </pivotField>
    <pivotField showAll="0"/>
    <pivotField numFmtId="44" showAll="0"/>
    <pivotField numFmtId="44" showAll="0"/>
    <pivotField numFmtId="44" showAll="0"/>
    <pivotField numFmtId="44" showAll="0"/>
    <pivotField numFmtId="164" showAll="0"/>
    <pivotField dataField="1" numFmtId="44" showAll="0"/>
    <pivotField dataField="1" numFmtId="44" showAll="0"/>
    <pivotField numFmtId="44" showAll="0"/>
    <pivotField numFmtId="164" showAll="0"/>
    <pivotField showAll="0"/>
    <pivotField numFmtId="44" showAll="0"/>
    <pivotField numFmtId="44" showAll="0"/>
    <pivotField numFmtId="44"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nnual Budget " fld="7" baseField="0" baseItem="0" numFmtId="44"/>
    <dataField name="Year-End Forecast " fld="8" baseField="0" baseItem="0" numFmtId="44"/>
  </dataFields>
  <chartFormats count="4">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19" format="10">
      <pivotArea type="data" outline="0" fieldPosition="0">
        <references count="2">
          <reference field="4294967294" count="1" selected="0">
            <x v="1"/>
          </reference>
          <reference field="0" count="1" selected="0">
            <x v="2"/>
          </reference>
        </references>
      </pivotArea>
    </chartFormat>
    <chartFormat chart="19" format="11">
      <pivotArea type="data" outline="0" fieldPosition="0">
        <references count="2">
          <reference field="4294967294" count="1" selected="0">
            <x v="1"/>
          </reference>
          <reference field="0" count="1" selected="0">
            <x v="5"/>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FDC5FA9-42CF-4CB0-BDAB-4809FADDCEAC}" autoFormatId="16" applyNumberFormats="0" applyBorderFormats="0" applyFontFormats="0" applyPatternFormats="0" applyAlignmentFormats="0" applyWidthHeightFormats="0">
  <queryTableRefresh nextId="8">
    <queryTableFields count="6">
      <queryTableField id="1" name="Source.Name" tableColumnId="1"/>
      <queryTableField id="2" name="Date" tableColumnId="2"/>
      <queryTableField id="3" name="Department" tableColumnId="3"/>
      <queryTableField id="4" name="Category" tableColumnId="4"/>
      <queryTableField id="5" name="Vendor" tableColumnId="5"/>
      <queryTableField id="6" name="Amoun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85F83A6-F896-4373-B8C1-E2B6B9489D3E}" autoFormatId="16" applyNumberFormats="0" applyBorderFormats="0" applyFontFormats="0" applyPatternFormats="0" applyAlignmentFormats="0" applyWidthHeightFormats="0">
  <queryTableRefresh nextId="5">
    <queryTableFields count="4">
      <queryTableField id="1" name="Source.Name" tableColumnId="1"/>
      <queryTableField id="2" name="Department" tableColumnId="2"/>
      <queryTableField id="3" name="Category" tableColumnId="3"/>
      <queryTableField id="4" name="Monthly_Budge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A4C95F-25AA-444D-A99D-0EE60BD1B8E9}" sourceName="Department">
  <pivotTables>
    <pivotTable tabId="13" name="PivotTable16"/>
    <pivotTable tabId="10" name="PivotTable4"/>
    <pivotTable tabId="11" name="PivotTable5"/>
    <pivotTable tabId="9" name="PivotTable3"/>
  </pivotTables>
  <data>
    <tabular pivotCacheId="681897842">
      <items count="5">
        <i x="1" s="1"/>
        <i x="2" s="1"/>
        <i x="4" s="1"/>
        <i x="3"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B0A61F5-E5DD-43C9-8F98-A43EED416138}" cache="Slicer_Department" caption="Department" columnCount="5" style="Custom Green" rowHeight="18288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AD678B-111C-4B5D-B69E-771ABF94D4F0}" name="Table4" displayName="Table4" ref="A1:O11" totalsRowShown="0" headerRowDxfId="31">
  <tableColumns count="15">
    <tableColumn id="1" xr3:uid="{C54F2EFD-8E63-45DF-A750-8A7E135DD9B7}" name="Category">
      <calculatedColumnFormula>Excel_Project[[#This Row],[Category]]</calculatedColumnFormula>
    </tableColumn>
    <tableColumn id="2" xr3:uid="{AEF5EA18-8BB9-4775-9466-A6DC80C68B53}" name="Department">
      <calculatedColumnFormula>_xlfn.XLOOKUP(A2,Excel_Project[Category],Excel_Project[Department],"Not found")</calculatedColumnFormula>
    </tableColumn>
    <tableColumn id="3" xr3:uid="{8DBA0E5C-A8F5-44E5-AC31-49998D7FCDC2}" name="Monthly Budget" dataCellStyle="Currency">
      <calculatedColumnFormula>_xlfn.XLOOKUP(Table4[[#This Row],[Category]],Excel_Project[[#This Row],[Category]],Excel_Project[[#This Row],[Monthly_Budget]])</calculatedColumnFormula>
    </tableColumn>
    <tableColumn id="4" xr3:uid="{18F8663F-9BD7-4C73-9994-12020AD1C52F}" name="Actual YTD (Jan-Aug)" dataDxfId="30">
      <calculatedColumnFormula>SUMIFS(raw_data[Amount],raw_data[Department],Table4[[#This Row],[Department]],raw_data[Category],Table4[[#This Row],[Category]],raw_data[Date],"&gt;="&amp;DATE(YEAR($H$15),1,1),raw_data[Date],"&lt;="&amp;$H$15)</calculatedColumnFormula>
    </tableColumn>
    <tableColumn id="5" xr3:uid="{82617D52-5861-4417-A1CB-52F6E9BE7574}" name="Budget YTD (Jan-Aug)" dataDxfId="29">
      <calculatedColumnFormula>Table4[[#This Row],[Monthly Budget]]*$F$16</calculatedColumnFormula>
    </tableColumn>
    <tableColumn id="6" xr3:uid="{C96D3538-168F-434E-8C82-F09E32F3151A}" name="YTD Variance $" dataDxfId="28">
      <calculatedColumnFormula>Table4[[#This Row],[Actual YTD (Jan-Aug)]]-Table4[[#This Row],[Budget YTD (Jan-Aug)]]</calculatedColumnFormula>
    </tableColumn>
    <tableColumn id="7" xr3:uid="{065C6603-6BFB-48E3-BB38-09A375DB853D}" name="YTD Variance %" dataDxfId="27" dataCellStyle="Percent">
      <calculatedColumnFormula>(Table4[[#This Row],[Actual YTD (Jan-Aug)]]-Table4[[#This Row],[Budget YTD (Jan-Aug)]])/Table4[[#This Row],[Budget YTD (Jan-Aug)]]</calculatedColumnFormula>
    </tableColumn>
    <tableColumn id="8" xr3:uid="{6AECE5A5-3070-48ED-8832-FCD6628780F0}" name="Annual Budget" dataDxfId="26">
      <calculatedColumnFormula>Table4[[#This Row],[Monthly Budget]]*$F$18</calculatedColumnFormula>
    </tableColumn>
    <tableColumn id="9" xr3:uid="{96E3E6D0-1A6D-44D4-828B-3F24F021F25E}" name="Year-End Forecast" dataDxfId="25">
      <calculatedColumnFormula>(Table4[[#This Row],[Actual YTD (Jan-Aug)]]/$F$16)*$F$18</calculatedColumnFormula>
    </tableColumn>
    <tableColumn id="10" xr3:uid="{D325BEC9-179A-4D09-9A8F-B5874F811E76}" name="Forecast Variance $" dataDxfId="24">
      <calculatedColumnFormula>Table4[[#This Row],[Year-End Forecast]]-Table4[[#This Row],[Annual Budget]]</calculatedColumnFormula>
    </tableColumn>
    <tableColumn id="11" xr3:uid="{EF1AE4F0-53F5-4AF9-B972-2B6C7857F806}" name="Forecast Variance %" dataDxfId="23" dataCellStyle="Percent">
      <calculatedColumnFormula>(Table4[[#This Row],[Year-End Forecast]]-Table4[[#This Row],[Annual Budget]])/Table4[[#This Row],[Annual Budget]]</calculatedColumnFormula>
    </tableColumn>
    <tableColumn id="13" xr3:uid="{1F1701D2-AC13-4905-A138-8789CF5D8FC2}" name="Forecast Status" dataDxfId="22">
      <calculatedColumnFormula array="1">_xlfn.IFS(Table4[[#This Row],[Forecast Variance %]]&lt;=0,"On/Under Budget", Table4[[#This Row],[Forecast Variance %]]&lt;=5%,"Within Limit",Table4[[#This Row],[Forecast Variance %]]&lt;=10%,"Needs Attention",Table4[[#This Row],[Forecast Variance %]]&gt; 10%, "Critical")</calculatedColumnFormula>
    </tableColumn>
    <tableColumn id="14" xr3:uid="{DC640204-89B2-411D-8E09-5A83492F9D95}" name="Average Monthly Actual" dataDxfId="21">
      <calculatedColumnFormula>Table4[[#This Row],[Actual YTD (Jan-Aug)]]/8</calculatedColumnFormula>
    </tableColumn>
    <tableColumn id="17" xr3:uid="{ED92A3F2-FF89-46A6-82C4-B597C0C9CE02}" name="Remaining Annual Budget" dataDxfId="20" dataCellStyle="Percent">
      <calculatedColumnFormula>Table4[[#This Row],[Annual Budget]]-Table4[[#This Row],[Actual YTD (Jan-Aug)]]</calculatedColumnFormula>
    </tableColumn>
    <tableColumn id="16" xr3:uid="{2B15FC8B-05CD-4ACA-9D1C-793E696DF3EE}" name="Allowable Monthly Spend Remaining" dataDxfId="19" dataCellStyle="Percent">
      <calculatedColumnFormula>Table4[[#This Row],[Remaining Annual Budget]]/$F$17</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D18930-2133-4DD9-9D2A-4FE5B227B8C7}" name="Table3" displayName="Table3" ref="B14:C20" totalsRowShown="0">
  <autoFilter ref="B14:C20" xr:uid="{01D18930-2133-4DD9-9D2A-4FE5B227B8C7}"/>
  <tableColumns count="2">
    <tableColumn id="1" xr3:uid="{F63D33E8-1970-4D8B-BF3C-8E5B6316A090}" name="Column1"/>
    <tableColumn id="2" xr3:uid="{80FC15BE-4BE1-4728-B0BC-02B0E04F4843}" name="Column2" dataDxfId="18" dataCellStyle="Currency"/>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1BC04-BDB7-4F7C-98C3-63B718926899}" name="Table5" displayName="Table5" ref="E14:F18" totalsRowShown="0">
  <autoFilter ref="E14:F18" xr:uid="{09B1BC04-BDB7-4F7C-98C3-63B718926899}"/>
  <tableColumns count="2">
    <tableColumn id="1" xr3:uid="{27B67289-5F5D-4A78-B5F2-EB6C51AC49A0}" name="Setting"/>
    <tableColumn id="2" xr3:uid="{E078EA35-5F80-4047-BBBB-69D5D340322A}" name="Formula"/>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95E592-B1D8-4F18-B182-59C37456369F}" name="Table6" displayName="Table6" ref="H14:H15" totalsRowShown="0">
  <autoFilter ref="H14:H15" xr:uid="{D095E592-B1D8-4F18-B182-59C37456369F}"/>
  <tableColumns count="1">
    <tableColumn id="1" xr3:uid="{A6984F06-CF22-45B3-8249-2F4B565DB120}" name="Reporting End Date" dataDxfId="17">
      <calculatedColumnFormula>EOMONTH(MAX(raw_data[Date]),0)</calculatedColumnFormula>
    </tableColumn>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E7D5DD-9EDA-4BF4-BE1D-2197287D3E5F}" name="raw_data" displayName="raw_data" ref="A1:F245" tableType="queryTable" totalsRowShown="0">
  <autoFilter ref="A1:F245" xr:uid="{6AE7D5DD-9EDA-4BF4-BE1D-2197287D3E5F}"/>
  <sortState xmlns:xlrd2="http://schemas.microsoft.com/office/spreadsheetml/2017/richdata2" ref="A2:F245">
    <sortCondition ref="B1:B245"/>
  </sortState>
  <tableColumns count="6">
    <tableColumn id="1" xr3:uid="{78654CE4-41F4-40D2-8CBD-2F4F71DA9BF2}" uniqueName="1" name="Source.Name" queryTableFieldId="1" dataDxfId="16"/>
    <tableColumn id="2" xr3:uid="{9A0917D0-0D81-474F-A513-1FA270062270}" uniqueName="2" name="Date" queryTableFieldId="2" dataDxfId="2"/>
    <tableColumn id="3" xr3:uid="{AED317C0-2880-41C6-AFF6-E4D96F53AC5B}" uniqueName="3" name="Department" queryTableFieldId="3" dataDxfId="15"/>
    <tableColumn id="4" xr3:uid="{B3CFC2D0-0568-4B5F-BCAB-F91181A179C8}" uniqueName="4" name="Category" queryTableFieldId="4" dataDxfId="14"/>
    <tableColumn id="5" xr3:uid="{44CA0EDB-BCE3-4961-A419-DAEFD45F0C31}" uniqueName="5" name="Vendor" queryTableFieldId="5" dataDxfId="13"/>
    <tableColumn id="6" xr3:uid="{49947366-EE08-408B-A47E-44F35FE5B0FE}" uniqueName="6" name="Amount" queryTableFieldId="6" dataDxfId="1" dataCellStyle="Currency"/>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209348-5B20-4F23-A6EE-65028E5AF1E0}" name="Excel_Project" displayName="Excel_Project" ref="A1:D11" tableType="queryTable" totalsRowShown="0">
  <tableColumns count="4">
    <tableColumn id="1" xr3:uid="{56F63450-2D98-4455-B993-886FF0790622}" uniqueName="1" name="Source.Name" queryTableFieldId="1" dataDxfId="12"/>
    <tableColumn id="2" xr3:uid="{98AD9E0A-7F1B-4E88-B214-319868BB0A17}" uniqueName="2" name="Department" queryTableFieldId="2" dataDxfId="11"/>
    <tableColumn id="3" xr3:uid="{A7CCD3D4-A540-48B1-BFE7-9171F192470A}" uniqueName="3" name="Category" queryTableFieldId="3" dataDxfId="10"/>
    <tableColumn id="4" xr3:uid="{74DC5935-476D-4228-BF6C-16FE4981930F}" uniqueName="4" name="Monthly_Budget" queryTableFieldId="4" dataDxfId="0" dataCellStyle="Currency"/>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0BAFE9A-C890-4278-AFC7-802BB37904C0}" sourceName="Date">
  <pivotTables>
    <pivotTable tabId="11" name="PivotTable5"/>
    <pivotTable tabId="10" name="PivotTable4"/>
    <pivotTable tabId="13" name="PivotTable16"/>
    <pivotTable tabId="9" name="PivotTable3"/>
  </pivotTables>
  <state minimalRefreshVersion="6" lastRefreshVersion="6" pivotCacheId="68189784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3A7EFC2-8F98-42F5-B723-E32341E194F0}" cache="NativeTimeline_Date" caption="Reporting period" level="2" selectionLevel="2" scrollPosition="2026-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B1AD-A5B7-4961-AFF0-2DAB7814519B}">
  <dimension ref="B1:B38"/>
  <sheetViews>
    <sheetView showGridLines="0" showRowColHeaders="0" tabSelected="1" zoomScaleNormal="100" workbookViewId="0">
      <selection activeCell="Y21" sqref="Y21"/>
    </sheetView>
  </sheetViews>
  <sheetFormatPr defaultRowHeight="14.4"/>
  <cols>
    <col min="1" max="16" width="8.88671875" style="13" customWidth="1"/>
    <col min="17" max="16384" width="8.88671875" style="13"/>
  </cols>
  <sheetData>
    <row r="1" ht="10.8" customHeight="1"/>
    <row r="2" ht="14.4" customHeight="1"/>
    <row r="3" ht="14.4" customHeight="1"/>
    <row r="4" ht="14.4" customHeight="1"/>
    <row r="5" ht="14.4" customHeight="1"/>
    <row r="6" ht="14.4" customHeight="1"/>
    <row r="7" ht="14.4" customHeight="1"/>
    <row r="8" ht="14.4" customHeight="1"/>
    <row r="9" ht="14.4" customHeight="1"/>
    <row r="10" ht="14.4" customHeight="1"/>
    <row r="11" ht="14.4" customHeight="1"/>
    <row r="12" ht="14.4" customHeight="1"/>
    <row r="13" ht="14.4" customHeight="1"/>
    <row r="14" ht="14.4" customHeight="1"/>
    <row r="15" ht="14.4" customHeight="1"/>
    <row r="16" ht="14.4" customHeight="1"/>
    <row r="17" spans="2:2" ht="14.4" customHeight="1"/>
    <row r="18" spans="2:2" ht="14.4" customHeight="1"/>
    <row r="19" spans="2:2" ht="14.4" customHeight="1"/>
    <row r="20" spans="2:2" ht="14.4" customHeight="1"/>
    <row r="21" spans="2:2" ht="14.4" customHeight="1"/>
    <row r="22" spans="2:2" ht="14.4" customHeight="1"/>
    <row r="23" spans="2:2" ht="14.4" customHeight="1"/>
    <row r="24" spans="2:2" ht="14.4" customHeight="1"/>
    <row r="25" spans="2:2" ht="14.4" customHeight="1"/>
    <row r="26" spans="2:2" ht="14.4" customHeight="1"/>
    <row r="27" spans="2:2" ht="14.4" customHeight="1"/>
    <row r="28" spans="2:2" ht="14.4" customHeight="1"/>
    <row r="29" spans="2:2">
      <c r="B29" s="15" t="s">
        <v>82</v>
      </c>
    </row>
    <row r="30" spans="2:2" ht="14.4" customHeight="1"/>
    <row r="31" spans="2:2" ht="14.4" customHeight="1"/>
    <row r="32" spans="2:2" ht="14.4" customHeight="1"/>
    <row r="33" ht="14.4" customHeight="1"/>
    <row r="34" ht="14.4" customHeight="1"/>
    <row r="35" ht="14.4" customHeight="1"/>
    <row r="36" ht="14.4" customHeight="1"/>
    <row r="37" ht="14.4" customHeight="1"/>
    <row r="38" ht="14.4" customHeight="1"/>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94D5-81A2-4F1E-B74B-CB321D1B6481}">
  <dimension ref="A1:O20"/>
  <sheetViews>
    <sheetView showGridLines="0" showRowColHeaders="0" zoomScale="78" zoomScaleNormal="78" workbookViewId="0">
      <selection activeCell="I27" sqref="I27"/>
    </sheetView>
  </sheetViews>
  <sheetFormatPr defaultRowHeight="14.4"/>
  <cols>
    <col min="1" max="1" width="19.109375" bestFit="1" customWidth="1"/>
    <col min="2" max="2" width="17.77734375" bestFit="1" customWidth="1"/>
    <col min="3" max="3" width="15.109375" style="2" bestFit="1" customWidth="1"/>
    <col min="4" max="4" width="18" bestFit="1" customWidth="1"/>
    <col min="5" max="5" width="18.44140625" bestFit="1" customWidth="1"/>
    <col min="6" max="6" width="13.21875" bestFit="1" customWidth="1"/>
    <col min="7" max="7" width="13.77734375" style="5" bestFit="1" customWidth="1"/>
    <col min="8" max="8" width="18.5546875" customWidth="1"/>
    <col min="9" max="9" width="16.109375" bestFit="1" customWidth="1"/>
    <col min="10" max="10" width="17.44140625" bestFit="1" customWidth="1"/>
    <col min="11" max="11" width="18" style="5" bestFit="1" customWidth="1"/>
    <col min="12" max="12" width="15.44140625" customWidth="1"/>
    <col min="13" max="13" width="19.77734375" bestFit="1" customWidth="1"/>
    <col min="14" max="14" width="14" customWidth="1"/>
    <col min="15" max="15" width="17.109375" customWidth="1"/>
  </cols>
  <sheetData>
    <row r="1" spans="1:15" ht="28.8">
      <c r="A1" s="6" t="s">
        <v>3</v>
      </c>
      <c r="B1" s="6" t="s">
        <v>2</v>
      </c>
      <c r="C1" s="7" t="s">
        <v>41</v>
      </c>
      <c r="D1" s="6" t="s">
        <v>43</v>
      </c>
      <c r="E1" s="6" t="s">
        <v>44</v>
      </c>
      <c r="F1" s="6" t="s">
        <v>45</v>
      </c>
      <c r="G1" s="8" t="s">
        <v>46</v>
      </c>
      <c r="H1" s="6" t="s">
        <v>40</v>
      </c>
      <c r="I1" s="6" t="s">
        <v>42</v>
      </c>
      <c r="J1" s="6" t="s">
        <v>47</v>
      </c>
      <c r="K1" s="8" t="s">
        <v>48</v>
      </c>
      <c r="L1" s="9" t="s">
        <v>49</v>
      </c>
      <c r="M1" s="10" t="s">
        <v>50</v>
      </c>
      <c r="N1" s="10" t="s">
        <v>51</v>
      </c>
      <c r="O1" s="10" t="s">
        <v>52</v>
      </c>
    </row>
    <row r="2" spans="1:15">
      <c r="A2" t="str">
        <f>Excel_Project[[#This Row],[Category]]</f>
        <v>Digital Advertising</v>
      </c>
      <c r="B2" t="str">
        <f>_xlfn.XLOOKUP(A2,Excel_Project[Category],Excel_Project[Department],"Not found")</f>
        <v>MARKETING</v>
      </c>
      <c r="C2" s="2">
        <f>_xlfn.XLOOKUP(Table4[[#This Row],[Category]],Excel_Project[[#This Row],[Category]],Excel_Project[[#This Row],[Monthly_Budget]])</f>
        <v>9115.41</v>
      </c>
      <c r="D2" s="3">
        <f>SUMIFS(raw_data[Amount],raw_data[Department],Table4[[#This Row],[Department]],raw_data[Category],Table4[[#This Row],[Category]],raw_data[Date],"&gt;="&amp;DATE(YEAR($H$15),1,1),raw_data[Date],"&lt;="&amp;$H$15)</f>
        <v>76862.94</v>
      </c>
      <c r="E2" s="3">
        <f>Table4[[#This Row],[Monthly Budget]]*$F$16</f>
        <v>72923.28</v>
      </c>
      <c r="F2" s="3">
        <f>Table4[[#This Row],[Actual YTD (Jan-Aug)]]-Table4[[#This Row],[Budget YTD (Jan-Aug)]]</f>
        <v>3939.6600000000035</v>
      </c>
      <c r="G2" s="5">
        <f>(Table4[[#This Row],[Actual YTD (Jan-Aug)]]-Table4[[#This Row],[Budget YTD (Jan-Aug)]])/Table4[[#This Row],[Budget YTD (Jan-Aug)]]</f>
        <v>5.4024722969125957E-2</v>
      </c>
      <c r="H2" s="3">
        <f>Table4[[#This Row],[Monthly Budget]]*$F$18</f>
        <v>109384.92</v>
      </c>
      <c r="I2" s="3">
        <f>(Table4[[#This Row],[Actual YTD (Jan-Aug)]]/$F$16)*$F$18</f>
        <v>115294.41</v>
      </c>
      <c r="J2" s="3">
        <f>Table4[[#This Row],[Year-End Forecast]]-Table4[[#This Row],[Annual Budget]]</f>
        <v>5909.4900000000052</v>
      </c>
      <c r="K2" s="5">
        <f>(Table4[[#This Row],[Year-End Forecast]]-Table4[[#This Row],[Annual Budget]])/Table4[[#This Row],[Annual Budget]]</f>
        <v>5.4024722969125957E-2</v>
      </c>
      <c r="L2" s="4" t="str" cm="1">
        <f t="array" ref="L2">_xlfn.IFS(Table4[[#This Row],[Forecast Variance %]]&lt;=0,"On/Under Budget", Table4[[#This Row],[Forecast Variance %]]&lt;=5%,"Within Limit",Table4[[#This Row],[Forecast Variance %]]&lt;=10%,"Needs Attention",Table4[[#This Row],[Forecast Variance %]]&gt; 10%, "Critical")</f>
        <v>Needs Attention</v>
      </c>
      <c r="M2" s="4">
        <f>Table4[[#This Row],[Actual YTD (Jan-Aug)]]/8</f>
        <v>9607.8675000000003</v>
      </c>
      <c r="N2" s="4">
        <f>Table4[[#This Row],[Annual Budget]]-Table4[[#This Row],[Actual YTD (Jan-Aug)]]</f>
        <v>32521.979999999996</v>
      </c>
      <c r="O2" s="4">
        <f>Table4[[#This Row],[Remaining Annual Budget]]/$F$17</f>
        <v>8130.494999999999</v>
      </c>
    </row>
    <row r="3" spans="1:15">
      <c r="A3" t="str">
        <f>Excel_Project[[#This Row],[Category]]</f>
        <v>Events &amp; Sponsorships</v>
      </c>
      <c r="B3" t="str">
        <f>_xlfn.XLOOKUP(A3,Excel_Project[Category],Excel_Project[Department],"Not found")</f>
        <v>MARKETING</v>
      </c>
      <c r="C3" s="2">
        <f>_xlfn.XLOOKUP(Table4[[#This Row],[Category]],Excel_Project[[#This Row],[Category]],Excel_Project[[#This Row],[Monthly_Budget]])</f>
        <v>4200.09</v>
      </c>
      <c r="D3" s="3">
        <f>SUMIFS(raw_data[Amount],raw_data[Department],Table4[[#This Row],[Department]],raw_data[Category],Table4[[#This Row],[Category]],raw_data[Date],"&gt;="&amp;DATE(YEAR($H$15),1,1),raw_data[Date],"&lt;="&amp;$H$15)</f>
        <v>39894.529999999992</v>
      </c>
      <c r="E3" s="3">
        <f>Table4[[#This Row],[Monthly Budget]]*$F$16</f>
        <v>33600.720000000001</v>
      </c>
      <c r="F3" s="3">
        <f>Table4[[#This Row],[Actual YTD (Jan-Aug)]]-Table4[[#This Row],[Budget YTD (Jan-Aug)]]</f>
        <v>6293.8099999999904</v>
      </c>
      <c r="G3" s="5">
        <f>(Table4[[#This Row],[Actual YTD (Jan-Aug)]]-Table4[[#This Row],[Budget YTD (Jan-Aug)]])/Table4[[#This Row],[Budget YTD (Jan-Aug)]]</f>
        <v>0.18731175998609526</v>
      </c>
      <c r="H3" s="3">
        <f>Table4[[#This Row],[Monthly Budget]]*$F$18</f>
        <v>50401.08</v>
      </c>
      <c r="I3" s="3">
        <f>(Table4[[#This Row],[Actual YTD (Jan-Aug)]]/$F$16)*$F$18</f>
        <v>59841.794999999984</v>
      </c>
      <c r="J3" s="3">
        <f>Table4[[#This Row],[Year-End Forecast]]-Table4[[#This Row],[Annual Budget]]</f>
        <v>9440.714999999982</v>
      </c>
      <c r="K3" s="5">
        <f>(Table4[[#This Row],[Year-End Forecast]]-Table4[[#This Row],[Annual Budget]])/Table4[[#This Row],[Annual Budget]]</f>
        <v>0.18731175998609517</v>
      </c>
      <c r="L3" s="4" t="str" cm="1">
        <f t="array" ref="L3">_xlfn.IFS(Table4[[#This Row],[Forecast Variance %]]&lt;=0,"On/Under Budget", Table4[[#This Row],[Forecast Variance %]]&lt;=5%,"Within Limit",Table4[[#This Row],[Forecast Variance %]]&lt;=10%,"Needs Attention",Table4[[#This Row],[Forecast Variance %]]&gt; 10%, "Critical")</f>
        <v>Critical</v>
      </c>
      <c r="M3" s="4">
        <f>Table4[[#This Row],[Actual YTD (Jan-Aug)]]/8</f>
        <v>4986.8162499999989</v>
      </c>
      <c r="N3" s="4">
        <f>Table4[[#This Row],[Annual Budget]]-Table4[[#This Row],[Actual YTD (Jan-Aug)]]</f>
        <v>10506.55000000001</v>
      </c>
      <c r="O3" s="4">
        <f>Table4[[#This Row],[Remaining Annual Budget]]/$F$17</f>
        <v>2626.6375000000025</v>
      </c>
    </row>
    <row r="4" spans="1:15">
      <c r="A4" t="str">
        <f>Excel_Project[[#This Row],[Category]]</f>
        <v>Supplies</v>
      </c>
      <c r="B4" t="str">
        <f>_xlfn.XLOOKUP(A4,Excel_Project[Category],Excel_Project[Department],"Not found")</f>
        <v>OPERATIONS</v>
      </c>
      <c r="C4" s="2">
        <f>_xlfn.XLOOKUP(Table4[[#This Row],[Category]],Excel_Project[[#This Row],[Category]],Excel_Project[[#This Row],[Monthly_Budget]])</f>
        <v>6200.23</v>
      </c>
      <c r="D4" s="3">
        <f>SUMIFS(raw_data[Amount],raw_data[Department],Table4[[#This Row],[Department]],raw_data[Category],Table4[[#This Row],[Category]],raw_data[Date],"&gt;="&amp;DATE(YEAR($H$15),1,1),raw_data[Date],"&lt;="&amp;$H$15)</f>
        <v>53177.680000000008</v>
      </c>
      <c r="E4" s="3">
        <f>Table4[[#This Row],[Monthly Budget]]*$F$16</f>
        <v>49601.84</v>
      </c>
      <c r="F4" s="3">
        <f>Table4[[#This Row],[Actual YTD (Jan-Aug)]]-Table4[[#This Row],[Budget YTD (Jan-Aug)]]</f>
        <v>3575.8400000000111</v>
      </c>
      <c r="G4" s="5">
        <f>(Table4[[#This Row],[Actual YTD (Jan-Aug)]]-Table4[[#This Row],[Budget YTD (Jan-Aug)]])/Table4[[#This Row],[Budget YTD (Jan-Aug)]]</f>
        <v>7.2090874048221024E-2</v>
      </c>
      <c r="H4" s="3">
        <f>Table4[[#This Row],[Monthly Budget]]*$F$18</f>
        <v>74402.759999999995</v>
      </c>
      <c r="I4" s="3">
        <f>(Table4[[#This Row],[Actual YTD (Jan-Aug)]]/$F$16)*$F$18</f>
        <v>79766.520000000019</v>
      </c>
      <c r="J4" s="3">
        <f>Table4[[#This Row],[Year-End Forecast]]-Table4[[#This Row],[Annual Budget]]</f>
        <v>5363.7600000000239</v>
      </c>
      <c r="K4" s="5">
        <f>(Table4[[#This Row],[Year-End Forecast]]-Table4[[#This Row],[Annual Budget]])/Table4[[#This Row],[Annual Budget]]</f>
        <v>7.2090874048221121E-2</v>
      </c>
      <c r="L4" s="4" t="str" cm="1">
        <f t="array" ref="L4">_xlfn.IFS(Table4[[#This Row],[Forecast Variance %]]&lt;=0,"On/Under Budget", Table4[[#This Row],[Forecast Variance %]]&lt;=5%,"Within Limit",Table4[[#This Row],[Forecast Variance %]]&lt;=10%,"Needs Attention",Table4[[#This Row],[Forecast Variance %]]&gt; 10%, "Critical")</f>
        <v>Needs Attention</v>
      </c>
      <c r="M4" s="4">
        <f>Table4[[#This Row],[Actual YTD (Jan-Aug)]]/8</f>
        <v>6647.2100000000009</v>
      </c>
      <c r="N4" s="4">
        <f>Table4[[#This Row],[Annual Budget]]-Table4[[#This Row],[Actual YTD (Jan-Aug)]]</f>
        <v>21225.079999999987</v>
      </c>
      <c r="O4" s="4">
        <f>Table4[[#This Row],[Remaining Annual Budget]]/$F$17</f>
        <v>5306.2699999999968</v>
      </c>
    </row>
    <row r="5" spans="1:15">
      <c r="A5" t="str">
        <f>Excel_Project[[#This Row],[Category]]</f>
        <v>Logistics</v>
      </c>
      <c r="B5" t="str">
        <f>_xlfn.XLOOKUP(A5,Excel_Project[Category],Excel_Project[Department],"Not found")</f>
        <v>OPERATIONS</v>
      </c>
      <c r="C5" s="2">
        <f>_xlfn.XLOOKUP(Table4[[#This Row],[Category]],Excel_Project[[#This Row],[Category]],Excel_Project[[#This Row],[Monthly_Budget]])</f>
        <v>5785.69</v>
      </c>
      <c r="D5" s="3">
        <f>SUMIFS(raw_data[Amount],raw_data[Department],Table4[[#This Row],[Department]],raw_data[Category],Table4[[#This Row],[Category]],raw_data[Date],"&gt;="&amp;DATE(YEAR($H$15),1,1),raw_data[Date],"&lt;="&amp;$H$15)</f>
        <v>50486.530000000006</v>
      </c>
      <c r="E5" s="3">
        <f>Table4[[#This Row],[Monthly Budget]]*$F$16</f>
        <v>46285.52</v>
      </c>
      <c r="F5" s="3">
        <f>Table4[[#This Row],[Actual YTD (Jan-Aug)]]-Table4[[#This Row],[Budget YTD (Jan-Aug)]]</f>
        <v>4201.0100000000093</v>
      </c>
      <c r="G5" s="5">
        <f>(Table4[[#This Row],[Actual YTD (Jan-Aug)]]-Table4[[#This Row],[Budget YTD (Jan-Aug)]])/Table4[[#This Row],[Budget YTD (Jan-Aug)]]</f>
        <v>9.0762942708648611E-2</v>
      </c>
      <c r="H5" s="3">
        <f>Table4[[#This Row],[Monthly Budget]]*$F$18</f>
        <v>69428.28</v>
      </c>
      <c r="I5" s="3">
        <f>(Table4[[#This Row],[Actual YTD (Jan-Aug)]]/$F$16)*$F$18</f>
        <v>75729.795000000013</v>
      </c>
      <c r="J5" s="3">
        <f>Table4[[#This Row],[Year-End Forecast]]-Table4[[#This Row],[Annual Budget]]</f>
        <v>6301.515000000014</v>
      </c>
      <c r="K5" s="5">
        <f>(Table4[[#This Row],[Year-End Forecast]]-Table4[[#This Row],[Annual Budget]])/Table4[[#This Row],[Annual Budget]]</f>
        <v>9.0762942708648611E-2</v>
      </c>
      <c r="L5" s="4" t="str" cm="1">
        <f t="array" ref="L5">_xlfn.IFS(Table4[[#This Row],[Forecast Variance %]]&lt;=0,"On/Under Budget", Table4[[#This Row],[Forecast Variance %]]&lt;=5%,"Within Limit",Table4[[#This Row],[Forecast Variance %]]&lt;=10%,"Needs Attention",Table4[[#This Row],[Forecast Variance %]]&gt; 10%, "Critical")</f>
        <v>Needs Attention</v>
      </c>
      <c r="M5" s="4">
        <f>Table4[[#This Row],[Actual YTD (Jan-Aug)]]/8</f>
        <v>6310.8162500000008</v>
      </c>
      <c r="N5" s="4">
        <f>Table4[[#This Row],[Annual Budget]]-Table4[[#This Row],[Actual YTD (Jan-Aug)]]</f>
        <v>18941.749999999993</v>
      </c>
      <c r="O5" s="4">
        <f>Table4[[#This Row],[Remaining Annual Budget]]/$F$17</f>
        <v>4735.4374999999982</v>
      </c>
    </row>
    <row r="6" spans="1:15">
      <c r="A6" t="str">
        <f>Excel_Project[[#This Row],[Category]]</f>
        <v>Software Licenses</v>
      </c>
      <c r="B6" t="str">
        <f>_xlfn.XLOOKUP(A6,Excel_Project[Category],Excel_Project[Department],"Not found")</f>
        <v>IT</v>
      </c>
      <c r="C6" s="2">
        <f>_xlfn.XLOOKUP(Table4[[#This Row],[Category]],Excel_Project[[#This Row],[Category]],Excel_Project[[#This Row],[Monthly_Budget]])</f>
        <v>9891.77</v>
      </c>
      <c r="D6" s="3">
        <f>SUMIFS(raw_data[Amount],raw_data[Department],Table4[[#This Row],[Department]],raw_data[Category],Table4[[#This Row],[Category]],raw_data[Date],"&gt;="&amp;DATE(YEAR($H$15),1,1),raw_data[Date],"&lt;="&amp;$H$15)</f>
        <v>80792.450000000012</v>
      </c>
      <c r="E6" s="3">
        <f>Table4[[#This Row],[Monthly Budget]]*$F$16</f>
        <v>79134.16</v>
      </c>
      <c r="F6" s="3">
        <f>Table4[[#This Row],[Actual YTD (Jan-Aug)]]-Table4[[#This Row],[Budget YTD (Jan-Aug)]]</f>
        <v>1658.2900000000081</v>
      </c>
      <c r="G6" s="5">
        <f>(Table4[[#This Row],[Actual YTD (Jan-Aug)]]-Table4[[#This Row],[Budget YTD (Jan-Aug)]])/Table4[[#This Row],[Budget YTD (Jan-Aug)]]</f>
        <v>2.095542557095454E-2</v>
      </c>
      <c r="H6" s="3">
        <f>Table4[[#This Row],[Monthly Budget]]*$F$18</f>
        <v>118701.24</v>
      </c>
      <c r="I6" s="3">
        <f>(Table4[[#This Row],[Actual YTD (Jan-Aug)]]/$F$16)*$F$18</f>
        <v>121188.67500000002</v>
      </c>
      <c r="J6" s="3">
        <f>Table4[[#This Row],[Year-End Forecast]]-Table4[[#This Row],[Annual Budget]]</f>
        <v>2487.4350000000122</v>
      </c>
      <c r="K6" s="5">
        <f>(Table4[[#This Row],[Year-End Forecast]]-Table4[[#This Row],[Annual Budget]])/Table4[[#This Row],[Annual Budget]]</f>
        <v>2.095542557095454E-2</v>
      </c>
      <c r="L6" s="4" t="str" cm="1">
        <f t="array" ref="L6">_xlfn.IFS(Table4[[#This Row],[Forecast Variance %]]&lt;=0,"On/Under Budget", Table4[[#This Row],[Forecast Variance %]]&lt;=5%,"Within Limit",Table4[[#This Row],[Forecast Variance %]]&lt;=10%,"Needs Attention",Table4[[#This Row],[Forecast Variance %]]&gt; 10%, "Critical")</f>
        <v>Within Limit</v>
      </c>
      <c r="M6" s="4">
        <f>Table4[[#This Row],[Actual YTD (Jan-Aug)]]/8</f>
        <v>10099.056250000001</v>
      </c>
      <c r="N6" s="4">
        <f>Table4[[#This Row],[Annual Budget]]-Table4[[#This Row],[Actual YTD (Jan-Aug)]]</f>
        <v>37908.789999999994</v>
      </c>
      <c r="O6" s="4">
        <f>Table4[[#This Row],[Remaining Annual Budget]]/$F$17</f>
        <v>9477.1974999999984</v>
      </c>
    </row>
    <row r="7" spans="1:15">
      <c r="A7" t="str">
        <f>Excel_Project[[#This Row],[Category]]</f>
        <v>Hardware</v>
      </c>
      <c r="B7" t="str">
        <f>_xlfn.XLOOKUP(A7,Excel_Project[Category],Excel_Project[Department],"Not found")</f>
        <v>IT</v>
      </c>
      <c r="C7" s="2">
        <f>_xlfn.XLOOKUP(Table4[[#This Row],[Category]],Excel_Project[[#This Row],[Category]],Excel_Project[[#This Row],[Monthly_Budget]])</f>
        <v>9413.6</v>
      </c>
      <c r="D7" s="3">
        <f>SUMIFS(raw_data[Amount],raw_data[Department],Table4[[#This Row],[Department]],raw_data[Category],Table4[[#This Row],[Category]],raw_data[Date],"&gt;="&amp;DATE(YEAR($H$15),1,1),raw_data[Date],"&lt;="&amp;$H$15)</f>
        <v>73226</v>
      </c>
      <c r="E7" s="3">
        <f>Table4[[#This Row],[Monthly Budget]]*$F$16</f>
        <v>75308.800000000003</v>
      </c>
      <c r="F7" s="3">
        <f>Table4[[#This Row],[Actual YTD (Jan-Aug)]]-Table4[[#This Row],[Budget YTD (Jan-Aug)]]</f>
        <v>-2082.8000000000029</v>
      </c>
      <c r="G7" s="5">
        <f>(Table4[[#This Row],[Actual YTD (Jan-Aug)]]-Table4[[#This Row],[Budget YTD (Jan-Aug)]])/Table4[[#This Row],[Budget YTD (Jan-Aug)]]</f>
        <v>-2.7656794425087144E-2</v>
      </c>
      <c r="H7" s="3">
        <f>Table4[[#This Row],[Monthly Budget]]*$F$18</f>
        <v>112963.20000000001</v>
      </c>
      <c r="I7" s="3">
        <f>(Table4[[#This Row],[Actual YTD (Jan-Aug)]]/$F$16)*$F$18</f>
        <v>109839</v>
      </c>
      <c r="J7" s="3">
        <f>Table4[[#This Row],[Year-End Forecast]]-Table4[[#This Row],[Annual Budget]]</f>
        <v>-3124.2000000000116</v>
      </c>
      <c r="K7" s="5">
        <f>(Table4[[#This Row],[Year-End Forecast]]-Table4[[#This Row],[Annual Budget]])/Table4[[#This Row],[Annual Budget]]</f>
        <v>-2.7656794425087207E-2</v>
      </c>
      <c r="L7" s="4" t="str" cm="1">
        <f t="array" ref="L7">_xlfn.IFS(Table4[[#This Row],[Forecast Variance %]]&lt;=0,"On/Under Budget", Table4[[#This Row],[Forecast Variance %]]&lt;=5%,"Within Limit",Table4[[#This Row],[Forecast Variance %]]&lt;=10%,"Needs Attention",Table4[[#This Row],[Forecast Variance %]]&gt; 10%, "Critical")</f>
        <v>On/Under Budget</v>
      </c>
      <c r="M7" s="4">
        <f>Table4[[#This Row],[Actual YTD (Jan-Aug)]]/8</f>
        <v>9153.25</v>
      </c>
      <c r="N7" s="4">
        <f>Table4[[#This Row],[Annual Budget]]-Table4[[#This Row],[Actual YTD (Jan-Aug)]]</f>
        <v>39737.200000000012</v>
      </c>
      <c r="O7" s="4">
        <f>Table4[[#This Row],[Remaining Annual Budget]]/$F$17</f>
        <v>9934.3000000000029</v>
      </c>
    </row>
    <row r="8" spans="1:15">
      <c r="A8" t="str">
        <f>Excel_Project[[#This Row],[Category]]</f>
        <v>Recruiting</v>
      </c>
      <c r="B8" t="str">
        <f>_xlfn.XLOOKUP(A8,Excel_Project[Category],Excel_Project[Department],"Not found")</f>
        <v>HR</v>
      </c>
      <c r="C8" s="2">
        <f>_xlfn.XLOOKUP(Table4[[#This Row],[Category]],Excel_Project[[#This Row],[Category]],Excel_Project[[#This Row],[Monthly_Budget]])</f>
        <v>11137.44</v>
      </c>
      <c r="D8" s="3">
        <f>SUMIFS(raw_data[Amount],raw_data[Department],Table4[[#This Row],[Department]],raw_data[Category],Table4[[#This Row],[Category]],raw_data[Date],"&gt;="&amp;DATE(YEAR($H$15),1,1),raw_data[Date],"&lt;="&amp;$H$15)</f>
        <v>90222.109999999986</v>
      </c>
      <c r="E8" s="3">
        <f>Table4[[#This Row],[Monthly Budget]]*$F$16</f>
        <v>89099.520000000004</v>
      </c>
      <c r="F8" s="3">
        <f>Table4[[#This Row],[Actual YTD (Jan-Aug)]]-Table4[[#This Row],[Budget YTD (Jan-Aug)]]</f>
        <v>1122.589999999982</v>
      </c>
      <c r="G8" s="5">
        <f>(Table4[[#This Row],[Actual YTD (Jan-Aug)]]-Table4[[#This Row],[Budget YTD (Jan-Aug)]])/Table4[[#This Row],[Budget YTD (Jan-Aug)]]</f>
        <v>1.2599282240801993E-2</v>
      </c>
      <c r="H8" s="3">
        <f>Table4[[#This Row],[Monthly Budget]]*$F$18</f>
        <v>133649.28</v>
      </c>
      <c r="I8" s="3">
        <f>(Table4[[#This Row],[Actual YTD (Jan-Aug)]]/$F$16)*$F$18</f>
        <v>135333.16499999998</v>
      </c>
      <c r="J8" s="3">
        <f>Table4[[#This Row],[Year-End Forecast]]-Table4[[#This Row],[Annual Budget]]</f>
        <v>1683.8849999999802</v>
      </c>
      <c r="K8" s="5">
        <f>(Table4[[#This Row],[Year-End Forecast]]-Table4[[#This Row],[Annual Budget]])/Table4[[#This Row],[Annual Budget]]</f>
        <v>1.2599282240802047E-2</v>
      </c>
      <c r="L8" s="4" t="str" cm="1">
        <f t="array" ref="L8">_xlfn.IFS(Table4[[#This Row],[Forecast Variance %]]&lt;=0,"On/Under Budget", Table4[[#This Row],[Forecast Variance %]]&lt;=5%,"Within Limit",Table4[[#This Row],[Forecast Variance %]]&lt;=10%,"Needs Attention",Table4[[#This Row],[Forecast Variance %]]&gt; 10%, "Critical")</f>
        <v>Within Limit</v>
      </c>
      <c r="M8" s="4">
        <f>Table4[[#This Row],[Actual YTD (Jan-Aug)]]/8</f>
        <v>11277.763749999998</v>
      </c>
      <c r="N8" s="4">
        <f>Table4[[#This Row],[Annual Budget]]-Table4[[#This Row],[Actual YTD (Jan-Aug)]]</f>
        <v>43427.170000000013</v>
      </c>
      <c r="O8" s="4">
        <f>Table4[[#This Row],[Remaining Annual Budget]]/$F$17</f>
        <v>10856.792500000003</v>
      </c>
    </row>
    <row r="9" spans="1:15">
      <c r="A9" t="str">
        <f>Excel_Project[[#This Row],[Category]]</f>
        <v>Training</v>
      </c>
      <c r="B9" t="str">
        <f>_xlfn.XLOOKUP(A9,Excel_Project[Category],Excel_Project[Department],"Not found")</f>
        <v>HR</v>
      </c>
      <c r="C9" s="2">
        <f>_xlfn.XLOOKUP(Table4[[#This Row],[Category]],Excel_Project[[#This Row],[Category]],Excel_Project[[#This Row],[Monthly_Budget]])</f>
        <v>4695.51</v>
      </c>
      <c r="D9" s="3">
        <f>SUMIFS(raw_data[Amount],raw_data[Department],Table4[[#This Row],[Department]],raw_data[Category],Table4[[#This Row],[Category]],raw_data[Date],"&gt;="&amp;DATE(YEAR($H$15),1,1),raw_data[Date],"&lt;="&amp;$H$15)</f>
        <v>39318.080000000002</v>
      </c>
      <c r="E9" s="3">
        <f>Table4[[#This Row],[Monthly Budget]]*$F$16</f>
        <v>37564.080000000002</v>
      </c>
      <c r="F9" s="3">
        <f>Table4[[#This Row],[Actual YTD (Jan-Aug)]]-Table4[[#This Row],[Budget YTD (Jan-Aug)]]</f>
        <v>1754</v>
      </c>
      <c r="G9" s="5">
        <f>(Table4[[#This Row],[Actual YTD (Jan-Aug)]]-Table4[[#This Row],[Budget YTD (Jan-Aug)]])/Table4[[#This Row],[Budget YTD (Jan-Aug)]]</f>
        <v>4.669354340636054E-2</v>
      </c>
      <c r="H9" s="3">
        <f>Table4[[#This Row],[Monthly Budget]]*$F$18</f>
        <v>56346.12</v>
      </c>
      <c r="I9" s="3">
        <f>(Table4[[#This Row],[Actual YTD (Jan-Aug)]]/$F$16)*$F$18</f>
        <v>58977.120000000003</v>
      </c>
      <c r="J9" s="3">
        <f>Table4[[#This Row],[Year-End Forecast]]-Table4[[#This Row],[Annual Budget]]</f>
        <v>2631</v>
      </c>
      <c r="K9" s="5">
        <f>(Table4[[#This Row],[Year-End Forecast]]-Table4[[#This Row],[Annual Budget]])/Table4[[#This Row],[Annual Budget]]</f>
        <v>4.669354340636054E-2</v>
      </c>
      <c r="L9" s="4" t="str" cm="1">
        <f t="array" ref="L9">_xlfn.IFS(Table4[[#This Row],[Forecast Variance %]]&lt;=0,"On/Under Budget", Table4[[#This Row],[Forecast Variance %]]&lt;=5%,"Within Limit",Table4[[#This Row],[Forecast Variance %]]&lt;=10%,"Needs Attention",Table4[[#This Row],[Forecast Variance %]]&gt; 10%, "Critical")</f>
        <v>Within Limit</v>
      </c>
      <c r="M9" s="4">
        <f>Table4[[#This Row],[Actual YTD (Jan-Aug)]]/8</f>
        <v>4914.76</v>
      </c>
      <c r="N9" s="4">
        <f>Table4[[#This Row],[Annual Budget]]-Table4[[#This Row],[Actual YTD (Jan-Aug)]]</f>
        <v>17028.04</v>
      </c>
      <c r="O9" s="4">
        <f>Table4[[#This Row],[Remaining Annual Budget]]/$F$17</f>
        <v>4257.01</v>
      </c>
    </row>
    <row r="10" spans="1:15">
      <c r="A10" t="str">
        <f>Excel_Project[[#This Row],[Category]]</f>
        <v>Travel</v>
      </c>
      <c r="B10" t="str">
        <f>_xlfn.XLOOKUP(A10,Excel_Project[Category],Excel_Project[Department],"Not found")</f>
        <v>SALES</v>
      </c>
      <c r="C10" s="2">
        <f>_xlfn.XLOOKUP(Table4[[#This Row],[Category]],Excel_Project[[#This Row],[Category]],Excel_Project[[#This Row],[Monthly_Budget]])</f>
        <v>7375.37</v>
      </c>
      <c r="D10" s="3">
        <f>SUMIFS(raw_data[Amount],raw_data[Department],Table4[[#This Row],[Department]],raw_data[Category],Table4[[#This Row],[Category]],raw_data[Date],"&gt;="&amp;DATE(YEAR($H$15),1,1),raw_data[Date],"&lt;="&amp;$H$15)</f>
        <v>62315.619999999995</v>
      </c>
      <c r="E10" s="3">
        <f>Table4[[#This Row],[Monthly Budget]]*$F$16</f>
        <v>59002.96</v>
      </c>
      <c r="F10" s="3">
        <f>Table4[[#This Row],[Actual YTD (Jan-Aug)]]-Table4[[#This Row],[Budget YTD (Jan-Aug)]]</f>
        <v>3312.6599999999962</v>
      </c>
      <c r="G10" s="5">
        <f>(Table4[[#This Row],[Actual YTD (Jan-Aug)]]-Table4[[#This Row],[Budget YTD (Jan-Aug)]])/Table4[[#This Row],[Budget YTD (Jan-Aug)]]</f>
        <v>5.6143962946943612E-2</v>
      </c>
      <c r="H10" s="3">
        <f>Table4[[#This Row],[Monthly Budget]]*$F$18</f>
        <v>88504.44</v>
      </c>
      <c r="I10" s="3">
        <f>(Table4[[#This Row],[Actual YTD (Jan-Aug)]]/$F$16)*$F$18</f>
        <v>93473.43</v>
      </c>
      <c r="J10" s="3">
        <f>Table4[[#This Row],[Year-End Forecast]]-Table4[[#This Row],[Annual Budget]]</f>
        <v>4968.9899999999907</v>
      </c>
      <c r="K10" s="5">
        <f>(Table4[[#This Row],[Year-End Forecast]]-Table4[[#This Row],[Annual Budget]])/Table4[[#This Row],[Annual Budget]]</f>
        <v>5.6143962946943571E-2</v>
      </c>
      <c r="L10" s="4" t="str" cm="1">
        <f t="array" ref="L10">_xlfn.IFS(Table4[[#This Row],[Forecast Variance %]]&lt;=0,"On/Under Budget", Table4[[#This Row],[Forecast Variance %]]&lt;=5%,"Within Limit",Table4[[#This Row],[Forecast Variance %]]&lt;=10%,"Needs Attention",Table4[[#This Row],[Forecast Variance %]]&gt; 10%, "Critical")</f>
        <v>Needs Attention</v>
      </c>
      <c r="M10" s="4">
        <f>Table4[[#This Row],[Actual YTD (Jan-Aug)]]/8</f>
        <v>7789.4524999999994</v>
      </c>
      <c r="N10" s="4">
        <f>Table4[[#This Row],[Annual Budget]]-Table4[[#This Row],[Actual YTD (Jan-Aug)]]</f>
        <v>26188.820000000007</v>
      </c>
      <c r="O10" s="4">
        <f>Table4[[#This Row],[Remaining Annual Budget]]/$F$17</f>
        <v>6547.2050000000017</v>
      </c>
    </row>
    <row r="11" spans="1:15">
      <c r="A11" t="str">
        <f>Excel_Project[[#This Row],[Category]]</f>
        <v>Client Entertainment</v>
      </c>
      <c r="B11" t="str">
        <f>_xlfn.XLOOKUP(A11,Excel_Project[Category],Excel_Project[Department],"Not found")</f>
        <v>SALES</v>
      </c>
      <c r="C11" s="2">
        <f>_xlfn.XLOOKUP(Table4[[#This Row],[Category]],Excel_Project[[#This Row],[Category]],Excel_Project[[#This Row],[Monthly_Budget]])</f>
        <v>4238.38</v>
      </c>
      <c r="D11" s="3">
        <f>SUMIFS(raw_data[Amount],raw_data[Department],Table4[[#This Row],[Department]],raw_data[Category],Table4[[#This Row],[Category]],raw_data[Date],"&gt;="&amp;DATE(YEAR($H$15),1,1),raw_data[Date],"&lt;="&amp;$H$15)</f>
        <v>33064.140000000007</v>
      </c>
      <c r="E11" s="3">
        <f>Table4[[#This Row],[Monthly Budget]]*$F$16</f>
        <v>33907.040000000001</v>
      </c>
      <c r="F11" s="3">
        <f>Table4[[#This Row],[Actual YTD (Jan-Aug)]]-Table4[[#This Row],[Budget YTD (Jan-Aug)]]</f>
        <v>-842.89999999999418</v>
      </c>
      <c r="G11" s="5">
        <f>(Table4[[#This Row],[Actual YTD (Jan-Aug)]]-Table4[[#This Row],[Budget YTD (Jan-Aug)]])/Table4[[#This Row],[Budget YTD (Jan-Aug)]]</f>
        <v>-2.4859144295697713E-2</v>
      </c>
      <c r="H11" s="3">
        <f>Table4[[#This Row],[Monthly Budget]]*$F$18</f>
        <v>50860.56</v>
      </c>
      <c r="I11" s="3">
        <f>(Table4[[#This Row],[Actual YTD (Jan-Aug)]]/$F$16)*$F$18</f>
        <v>49596.210000000006</v>
      </c>
      <c r="J11" s="3">
        <f>Table4[[#This Row],[Year-End Forecast]]-Table4[[#This Row],[Annual Budget]]</f>
        <v>-1264.3499999999913</v>
      </c>
      <c r="K11" s="5">
        <f>(Table4[[#This Row],[Year-End Forecast]]-Table4[[#This Row],[Annual Budget]])/Table4[[#This Row],[Annual Budget]]</f>
        <v>-2.4859144295697713E-2</v>
      </c>
      <c r="L11" s="4" t="str" cm="1">
        <f t="array" ref="L11">_xlfn.IFS(Table4[[#This Row],[Forecast Variance %]]&lt;=0,"On/Under Budget", Table4[[#This Row],[Forecast Variance %]]&lt;=5%,"Within Limit",Table4[[#This Row],[Forecast Variance %]]&lt;=10%,"Needs Attention",Table4[[#This Row],[Forecast Variance %]]&gt; 10%, "Critical")</f>
        <v>On/Under Budget</v>
      </c>
      <c r="M11" s="4">
        <f>Table4[[#This Row],[Actual YTD (Jan-Aug)]]/8</f>
        <v>4133.0175000000008</v>
      </c>
      <c r="N11" s="4">
        <f>Table4[[#This Row],[Annual Budget]]-Table4[[#This Row],[Actual YTD (Jan-Aug)]]</f>
        <v>17796.419999999991</v>
      </c>
      <c r="O11" s="4">
        <f>Table4[[#This Row],[Remaining Annual Budget]]/$F$17</f>
        <v>4449.1049999999977</v>
      </c>
    </row>
    <row r="14" spans="1:15">
      <c r="B14" t="s">
        <v>72</v>
      </c>
      <c r="C14" s="2" t="s">
        <v>73</v>
      </c>
      <c r="E14" t="s">
        <v>76</v>
      </c>
      <c r="F14" t="s">
        <v>77</v>
      </c>
      <c r="H14" t="s">
        <v>78</v>
      </c>
    </row>
    <row r="15" spans="1:15">
      <c r="B15" t="s">
        <v>70</v>
      </c>
      <c r="C15" s="2">
        <f>SUM(Table4[Actual YTD (Jan-Aug)])</f>
        <v>599360.07999999996</v>
      </c>
      <c r="E15" t="s">
        <v>78</v>
      </c>
      <c r="F15" s="1">
        <f>MAX(raw_data[Date])</f>
        <v>46262</v>
      </c>
      <c r="H15" s="1">
        <f>EOMONTH(MAX(raw_data[Date]),0)</f>
        <v>46265</v>
      </c>
    </row>
    <row r="16" spans="1:15">
      <c r="B16" t="s">
        <v>71</v>
      </c>
      <c r="C16" s="2">
        <f>SUM(Table4[Budget YTD (Jan-Aug)])</f>
        <v>576427.92000000004</v>
      </c>
      <c r="E16" t="s">
        <v>81</v>
      </c>
      <c r="F16">
        <f>MONTH(F15)</f>
        <v>8</v>
      </c>
    </row>
    <row r="17" spans="2:6">
      <c r="B17" t="s">
        <v>46</v>
      </c>
      <c r="C17" s="14">
        <f>(C15-C16)/C16</f>
        <v>3.9783222158982022E-2</v>
      </c>
      <c r="E17" t="s">
        <v>80</v>
      </c>
      <c r="F17">
        <f>12-F16</f>
        <v>4</v>
      </c>
    </row>
    <row r="18" spans="2:6">
      <c r="B18" t="s">
        <v>40</v>
      </c>
      <c r="C18" s="2">
        <f>SUM(Table4[Annual Budget])</f>
        <v>864641.88000000012</v>
      </c>
      <c r="E18" t="s">
        <v>79</v>
      </c>
      <c r="F18">
        <f>12</f>
        <v>12</v>
      </c>
    </row>
    <row r="19" spans="2:6">
      <c r="B19" t="s">
        <v>42</v>
      </c>
      <c r="C19" s="2">
        <f>SUM(Table4[Year-End Forecast])</f>
        <v>899040.12000000011</v>
      </c>
    </row>
    <row r="20" spans="2:6">
      <c r="B20" t="s">
        <v>48</v>
      </c>
      <c r="C20" s="5">
        <f>(C19-C18)/C18</f>
        <v>3.9783222158982154E-2</v>
      </c>
    </row>
  </sheetData>
  <phoneticPr fontId="2" type="noConversion"/>
  <conditionalFormatting sqref="F2:G11 J2:K11">
    <cfRule type="cellIs" dxfId="9" priority="5" operator="lessThan">
      <formula>0</formula>
    </cfRule>
    <cfRule type="cellIs" dxfId="8" priority="6" operator="greaterThan">
      <formula>0</formula>
    </cfRule>
  </conditionalFormatting>
  <conditionalFormatting sqref="L2:O11">
    <cfRule type="containsText" dxfId="7" priority="1" operator="containsText" text="On/Under Budget">
      <formula>NOT(ISERROR(SEARCH("On/Under Budget",L2)))</formula>
    </cfRule>
    <cfRule type="containsText" dxfId="6" priority="2" operator="containsText" text="Within Limit">
      <formula>NOT(ISERROR(SEARCH("Within Limit",L2)))</formula>
    </cfRule>
    <cfRule type="containsText" dxfId="5" priority="3" operator="containsText" text="Needs Attention">
      <formula>NOT(ISERROR(SEARCH("Needs Attention",L2)))</formula>
    </cfRule>
    <cfRule type="containsText" dxfId="4" priority="4" operator="containsText" text="Critical">
      <formula>NOT(ISERROR(SEARCH("Critical",L2)))</formula>
    </cfRule>
  </conditionalFormatting>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FBFF-06F0-4DE8-869D-2F0C9003877F}">
  <dimension ref="A1:G245"/>
  <sheetViews>
    <sheetView showGridLines="0" showRowColHeaders="0" zoomScale="76" zoomScaleNormal="76" workbookViewId="0">
      <selection activeCell="D7" sqref="D7"/>
    </sheetView>
  </sheetViews>
  <sheetFormatPr defaultRowHeight="14.4"/>
  <cols>
    <col min="1" max="1" width="20" bestFit="1" customWidth="1"/>
    <col min="2" max="2" width="10.33203125" bestFit="1" customWidth="1"/>
    <col min="3" max="3" width="13.88671875" bestFit="1" customWidth="1"/>
    <col min="4" max="4" width="19.5546875" bestFit="1" customWidth="1"/>
    <col min="5" max="5" width="15.88671875" bestFit="1" customWidth="1"/>
    <col min="6" max="6" width="11.5546875" style="2" bestFit="1" customWidth="1"/>
  </cols>
  <sheetData>
    <row r="1" spans="1:7">
      <c r="A1" t="s">
        <v>0</v>
      </c>
      <c r="B1" t="s">
        <v>1</v>
      </c>
      <c r="C1" t="s">
        <v>2</v>
      </c>
      <c r="D1" t="s">
        <v>3</v>
      </c>
      <c r="E1" t="s">
        <v>4</v>
      </c>
      <c r="F1" s="2" t="s">
        <v>5</v>
      </c>
      <c r="G1" s="2"/>
    </row>
    <row r="2" spans="1:7">
      <c r="A2" t="s">
        <v>37</v>
      </c>
      <c r="B2" s="1">
        <v>46023</v>
      </c>
      <c r="C2" t="s">
        <v>25</v>
      </c>
      <c r="D2" t="s">
        <v>30</v>
      </c>
      <c r="E2" t="s">
        <v>9</v>
      </c>
      <c r="F2" s="2">
        <v>2472.66</v>
      </c>
      <c r="G2" s="2"/>
    </row>
    <row r="3" spans="1:7">
      <c r="A3" t="s">
        <v>37</v>
      </c>
      <c r="B3" s="1">
        <v>46023</v>
      </c>
      <c r="C3" t="s">
        <v>15</v>
      </c>
      <c r="D3" t="s">
        <v>29</v>
      </c>
      <c r="E3" t="s">
        <v>10</v>
      </c>
      <c r="F3" s="2">
        <v>4192.68</v>
      </c>
      <c r="G3" s="2"/>
    </row>
    <row r="4" spans="1:7">
      <c r="A4" t="s">
        <v>37</v>
      </c>
      <c r="B4" s="1">
        <v>46024</v>
      </c>
      <c r="C4" t="s">
        <v>7</v>
      </c>
      <c r="D4" t="s">
        <v>23</v>
      </c>
      <c r="E4" t="s">
        <v>20</v>
      </c>
      <c r="F4" s="2">
        <v>1958.38</v>
      </c>
      <c r="G4" s="2"/>
    </row>
    <row r="5" spans="1:7">
      <c r="A5" t="s">
        <v>37</v>
      </c>
      <c r="B5" s="1">
        <v>46025</v>
      </c>
      <c r="C5" t="s">
        <v>15</v>
      </c>
      <c r="D5" t="s">
        <v>16</v>
      </c>
      <c r="E5" t="s">
        <v>75</v>
      </c>
      <c r="F5" s="2">
        <v>2185</v>
      </c>
      <c r="G5" s="2"/>
    </row>
    <row r="6" spans="1:7">
      <c r="A6" t="s">
        <v>37</v>
      </c>
      <c r="B6" s="1">
        <v>46025</v>
      </c>
      <c r="C6" t="s">
        <v>25</v>
      </c>
      <c r="D6" t="s">
        <v>30</v>
      </c>
      <c r="E6" t="s">
        <v>10</v>
      </c>
      <c r="F6" s="2">
        <v>1992.9</v>
      </c>
      <c r="G6" s="2"/>
    </row>
    <row r="7" spans="1:7">
      <c r="A7" t="s">
        <v>37</v>
      </c>
      <c r="B7" s="1">
        <v>46026</v>
      </c>
      <c r="C7" t="s">
        <v>7</v>
      </c>
      <c r="D7" t="s">
        <v>8</v>
      </c>
      <c r="E7" t="s">
        <v>28</v>
      </c>
      <c r="F7" s="2">
        <v>1863.3</v>
      </c>
      <c r="G7" s="2"/>
    </row>
    <row r="8" spans="1:7">
      <c r="A8" t="s">
        <v>37</v>
      </c>
      <c r="B8" s="1">
        <v>46027</v>
      </c>
      <c r="C8" t="s">
        <v>15</v>
      </c>
      <c r="D8" t="s">
        <v>16</v>
      </c>
      <c r="E8" t="s">
        <v>14</v>
      </c>
      <c r="F8" s="2">
        <v>2435.09</v>
      </c>
      <c r="G8" s="2"/>
    </row>
    <row r="9" spans="1:7">
      <c r="A9" t="s">
        <v>37</v>
      </c>
      <c r="B9" s="1">
        <v>46029</v>
      </c>
      <c r="C9" t="s">
        <v>18</v>
      </c>
      <c r="D9" t="s">
        <v>19</v>
      </c>
      <c r="E9" t="s">
        <v>10</v>
      </c>
      <c r="F9" s="2">
        <v>2889.98</v>
      </c>
      <c r="G9" s="2"/>
    </row>
    <row r="10" spans="1:7">
      <c r="A10" t="s">
        <v>37</v>
      </c>
      <c r="B10" s="1">
        <v>46029</v>
      </c>
      <c r="C10" t="s">
        <v>25</v>
      </c>
      <c r="D10" t="s">
        <v>30</v>
      </c>
      <c r="E10" t="s">
        <v>20</v>
      </c>
      <c r="F10" s="2">
        <v>2239.77</v>
      </c>
      <c r="G10" s="2"/>
    </row>
    <row r="11" spans="1:7">
      <c r="A11" t="s">
        <v>37</v>
      </c>
      <c r="B11" s="1">
        <v>46030</v>
      </c>
      <c r="C11" t="s">
        <v>18</v>
      </c>
      <c r="D11" t="s">
        <v>21</v>
      </c>
      <c r="E11" t="s">
        <v>75</v>
      </c>
      <c r="F11" s="2">
        <v>1368.86</v>
      </c>
      <c r="G11" s="2"/>
    </row>
    <row r="12" spans="1:7">
      <c r="A12" t="s">
        <v>37</v>
      </c>
      <c r="B12" s="1">
        <v>46030</v>
      </c>
      <c r="C12" t="s">
        <v>7</v>
      </c>
      <c r="D12" t="s">
        <v>23</v>
      </c>
      <c r="E12" t="s">
        <v>13</v>
      </c>
      <c r="F12" s="2">
        <v>2438.79</v>
      </c>
      <c r="G12" s="2"/>
    </row>
    <row r="13" spans="1:7">
      <c r="A13" t="s">
        <v>37</v>
      </c>
      <c r="B13" s="1">
        <v>46030</v>
      </c>
      <c r="C13" t="s">
        <v>25</v>
      </c>
      <c r="D13" t="s">
        <v>26</v>
      </c>
      <c r="E13" t="s">
        <v>75</v>
      </c>
      <c r="F13" s="2">
        <v>1991.74</v>
      </c>
      <c r="G13" s="2"/>
    </row>
    <row r="14" spans="1:7">
      <c r="A14" t="s">
        <v>37</v>
      </c>
      <c r="B14" s="1">
        <v>46031</v>
      </c>
      <c r="C14" t="s">
        <v>11</v>
      </c>
      <c r="D14" t="s">
        <v>24</v>
      </c>
      <c r="E14" t="s">
        <v>20</v>
      </c>
      <c r="F14" s="2">
        <v>3930.96</v>
      </c>
      <c r="G14" s="2"/>
    </row>
    <row r="15" spans="1:7">
      <c r="A15" t="s">
        <v>37</v>
      </c>
      <c r="B15" s="1">
        <v>46034</v>
      </c>
      <c r="C15" t="s">
        <v>11</v>
      </c>
      <c r="D15" t="s">
        <v>12</v>
      </c>
      <c r="E15" t="s">
        <v>75</v>
      </c>
      <c r="F15" s="2">
        <v>1174.8399999999999</v>
      </c>
      <c r="G15" s="2"/>
    </row>
    <row r="16" spans="1:7">
      <c r="A16" t="s">
        <v>37</v>
      </c>
      <c r="B16" s="1">
        <v>46035</v>
      </c>
      <c r="C16" t="s">
        <v>18</v>
      </c>
      <c r="D16" t="s">
        <v>21</v>
      </c>
      <c r="E16" t="s">
        <v>17</v>
      </c>
      <c r="F16" s="2">
        <v>1636.34</v>
      </c>
      <c r="G16" s="2"/>
    </row>
    <row r="17" spans="1:7">
      <c r="A17" t="s">
        <v>37</v>
      </c>
      <c r="B17" s="1">
        <v>46035</v>
      </c>
      <c r="C17" t="s">
        <v>11</v>
      </c>
      <c r="D17" t="s">
        <v>12</v>
      </c>
      <c r="E17" t="s">
        <v>17</v>
      </c>
      <c r="F17" s="2">
        <v>994.53</v>
      </c>
      <c r="G17" s="2"/>
    </row>
    <row r="18" spans="1:7">
      <c r="A18" t="s">
        <v>37</v>
      </c>
      <c r="B18" s="1">
        <v>46037</v>
      </c>
      <c r="C18" t="s">
        <v>7</v>
      </c>
      <c r="D18" t="s">
        <v>8</v>
      </c>
      <c r="E18" t="s">
        <v>9</v>
      </c>
      <c r="F18" s="2">
        <v>1723.01</v>
      </c>
      <c r="G18" s="2"/>
    </row>
    <row r="19" spans="1:7">
      <c r="A19" t="s">
        <v>37</v>
      </c>
      <c r="B19" s="1">
        <v>46037</v>
      </c>
      <c r="C19" t="s">
        <v>7</v>
      </c>
      <c r="D19" t="s">
        <v>8</v>
      </c>
      <c r="E19" t="s">
        <v>27</v>
      </c>
      <c r="F19" s="2">
        <v>1782.16</v>
      </c>
      <c r="G19" s="2"/>
    </row>
    <row r="20" spans="1:7">
      <c r="A20" t="s">
        <v>37</v>
      </c>
      <c r="B20" s="1">
        <v>46040</v>
      </c>
      <c r="C20" t="s">
        <v>11</v>
      </c>
      <c r="D20" t="s">
        <v>24</v>
      </c>
      <c r="E20" t="s">
        <v>10</v>
      </c>
      <c r="F20" s="2">
        <v>4302.7</v>
      </c>
      <c r="G20" s="2"/>
    </row>
    <row r="21" spans="1:7">
      <c r="A21" t="s">
        <v>37</v>
      </c>
      <c r="B21" s="1">
        <v>46040</v>
      </c>
      <c r="C21" t="s">
        <v>7</v>
      </c>
      <c r="D21" t="s">
        <v>8</v>
      </c>
      <c r="E21" t="s">
        <v>14</v>
      </c>
      <c r="F21" s="2">
        <v>2056.9699999999998</v>
      </c>
      <c r="G21" s="2"/>
    </row>
    <row r="22" spans="1:7">
      <c r="A22" t="s">
        <v>37</v>
      </c>
      <c r="B22" s="1">
        <v>46040</v>
      </c>
      <c r="C22" t="s">
        <v>15</v>
      </c>
      <c r="D22" t="s">
        <v>29</v>
      </c>
      <c r="E22" t="s">
        <v>28</v>
      </c>
      <c r="F22" s="2">
        <v>5425.48</v>
      </c>
      <c r="G22" s="2"/>
    </row>
    <row r="23" spans="1:7">
      <c r="A23" t="s">
        <v>37</v>
      </c>
      <c r="B23" s="1">
        <v>46040</v>
      </c>
      <c r="C23" t="s">
        <v>7</v>
      </c>
      <c r="D23" t="s">
        <v>23</v>
      </c>
      <c r="E23" t="s">
        <v>28</v>
      </c>
      <c r="F23" s="2">
        <v>2976.96</v>
      </c>
      <c r="G23" s="2"/>
    </row>
    <row r="24" spans="1:7">
      <c r="A24" t="s">
        <v>37</v>
      </c>
      <c r="B24" s="1">
        <v>46041</v>
      </c>
      <c r="C24" t="s">
        <v>25</v>
      </c>
      <c r="D24" t="s">
        <v>26</v>
      </c>
      <c r="E24" t="s">
        <v>20</v>
      </c>
      <c r="F24" s="2">
        <v>2090.65</v>
      </c>
      <c r="G24" s="2"/>
    </row>
    <row r="25" spans="1:7">
      <c r="A25" t="s">
        <v>37</v>
      </c>
      <c r="B25" s="1">
        <v>46043</v>
      </c>
      <c r="C25" t="s">
        <v>25</v>
      </c>
      <c r="D25" t="s">
        <v>30</v>
      </c>
      <c r="E25" t="s">
        <v>9</v>
      </c>
      <c r="F25" s="2">
        <v>3045.65</v>
      </c>
      <c r="G25" s="2"/>
    </row>
    <row r="26" spans="1:7">
      <c r="A26" t="s">
        <v>37</v>
      </c>
      <c r="B26" s="1">
        <v>46043</v>
      </c>
      <c r="C26" t="s">
        <v>7</v>
      </c>
      <c r="D26" t="s">
        <v>23</v>
      </c>
      <c r="E26" t="s">
        <v>10</v>
      </c>
      <c r="F26" s="2">
        <v>3194.5</v>
      </c>
      <c r="G26" s="2"/>
    </row>
    <row r="27" spans="1:7">
      <c r="A27" t="s">
        <v>37</v>
      </c>
      <c r="B27" s="1">
        <v>46044</v>
      </c>
      <c r="C27" t="s">
        <v>18</v>
      </c>
      <c r="D27" t="s">
        <v>21</v>
      </c>
      <c r="E27" t="s">
        <v>27</v>
      </c>
      <c r="F27" s="2">
        <v>1224.9000000000001</v>
      </c>
      <c r="G27" s="2"/>
    </row>
    <row r="28" spans="1:7">
      <c r="A28" t="s">
        <v>37</v>
      </c>
      <c r="B28" s="1">
        <v>46044</v>
      </c>
      <c r="C28" t="s">
        <v>18</v>
      </c>
      <c r="D28" t="s">
        <v>21</v>
      </c>
      <c r="E28" t="s">
        <v>10</v>
      </c>
      <c r="F28" s="2">
        <v>994.95</v>
      </c>
      <c r="G28" s="2"/>
    </row>
    <row r="29" spans="1:7">
      <c r="A29" t="s">
        <v>37</v>
      </c>
      <c r="B29" s="1">
        <v>46047</v>
      </c>
      <c r="C29" t="s">
        <v>11</v>
      </c>
      <c r="D29" t="s">
        <v>12</v>
      </c>
      <c r="E29" t="s">
        <v>9</v>
      </c>
      <c r="F29" s="2">
        <v>1064.21</v>
      </c>
      <c r="G29" s="2"/>
    </row>
    <row r="30" spans="1:7">
      <c r="A30" t="s">
        <v>37</v>
      </c>
      <c r="B30" s="1">
        <v>46047</v>
      </c>
      <c r="C30" t="s">
        <v>18</v>
      </c>
      <c r="D30" t="s">
        <v>19</v>
      </c>
      <c r="E30" t="s">
        <v>20</v>
      </c>
      <c r="F30" s="2">
        <v>4048.68</v>
      </c>
      <c r="G30" s="2"/>
    </row>
    <row r="31" spans="1:7">
      <c r="A31" t="s">
        <v>36</v>
      </c>
      <c r="B31" s="1">
        <v>46054</v>
      </c>
      <c r="C31" t="s">
        <v>11</v>
      </c>
      <c r="D31" t="s">
        <v>24</v>
      </c>
      <c r="E31" t="s">
        <v>20</v>
      </c>
      <c r="F31" s="2">
        <v>5328.33</v>
      </c>
      <c r="G31" s="2"/>
    </row>
    <row r="32" spans="1:7">
      <c r="A32" t="s">
        <v>36</v>
      </c>
      <c r="B32" s="1">
        <v>46056</v>
      </c>
      <c r="C32" t="s">
        <v>18</v>
      </c>
      <c r="D32" t="s">
        <v>21</v>
      </c>
      <c r="E32" t="s">
        <v>9</v>
      </c>
      <c r="F32" s="2">
        <v>1368.69</v>
      </c>
      <c r="G32" s="2"/>
    </row>
    <row r="33" spans="1:7">
      <c r="A33" t="s">
        <v>36</v>
      </c>
      <c r="B33" s="1">
        <v>46057</v>
      </c>
      <c r="C33" t="s">
        <v>15</v>
      </c>
      <c r="D33" t="s">
        <v>16</v>
      </c>
      <c r="E33" t="s">
        <v>22</v>
      </c>
      <c r="F33" s="2">
        <v>2312.1999999999998</v>
      </c>
      <c r="G33" s="2"/>
    </row>
    <row r="34" spans="1:7">
      <c r="A34" t="s">
        <v>36</v>
      </c>
      <c r="B34" s="1">
        <v>46058</v>
      </c>
      <c r="C34" t="s">
        <v>7</v>
      </c>
      <c r="D34" t="s">
        <v>23</v>
      </c>
      <c r="E34" t="s">
        <v>17</v>
      </c>
      <c r="F34" s="2">
        <v>3750.25</v>
      </c>
      <c r="G34" s="2"/>
    </row>
    <row r="35" spans="1:7">
      <c r="A35" t="s">
        <v>36</v>
      </c>
      <c r="B35" s="1">
        <v>46058</v>
      </c>
      <c r="C35" t="s">
        <v>25</v>
      </c>
      <c r="D35" t="s">
        <v>30</v>
      </c>
      <c r="E35" t="s">
        <v>17</v>
      </c>
      <c r="F35" s="2">
        <v>2132.35</v>
      </c>
      <c r="G35" s="2"/>
    </row>
    <row r="36" spans="1:7">
      <c r="A36" t="s">
        <v>36</v>
      </c>
      <c r="B36" s="1">
        <v>46060</v>
      </c>
      <c r="C36" t="s">
        <v>11</v>
      </c>
      <c r="D36" t="s">
        <v>24</v>
      </c>
      <c r="E36" t="s">
        <v>20</v>
      </c>
      <c r="F36" s="2">
        <v>5156.84</v>
      </c>
      <c r="G36" s="2"/>
    </row>
    <row r="37" spans="1:7">
      <c r="A37" t="s">
        <v>36</v>
      </c>
      <c r="B37" s="1">
        <v>46061</v>
      </c>
      <c r="C37" t="s">
        <v>25</v>
      </c>
      <c r="D37" t="s">
        <v>30</v>
      </c>
      <c r="E37" t="s">
        <v>20</v>
      </c>
      <c r="F37" s="2">
        <v>2232.88</v>
      </c>
      <c r="G37" s="2"/>
    </row>
    <row r="38" spans="1:7">
      <c r="A38" t="s">
        <v>36</v>
      </c>
      <c r="B38" s="1">
        <v>46062</v>
      </c>
      <c r="C38" t="s">
        <v>15</v>
      </c>
      <c r="D38" t="s">
        <v>16</v>
      </c>
      <c r="E38" t="s">
        <v>20</v>
      </c>
      <c r="F38" s="2">
        <v>1736.57</v>
      </c>
      <c r="G38" s="2"/>
    </row>
    <row r="39" spans="1:7">
      <c r="A39" t="s">
        <v>36</v>
      </c>
      <c r="B39" s="1">
        <v>46064</v>
      </c>
      <c r="C39" t="s">
        <v>25</v>
      </c>
      <c r="D39" t="s">
        <v>26</v>
      </c>
      <c r="E39" t="s">
        <v>14</v>
      </c>
      <c r="F39" s="2">
        <v>1233.98</v>
      </c>
      <c r="G39" s="2"/>
    </row>
    <row r="40" spans="1:7">
      <c r="A40" t="s">
        <v>36</v>
      </c>
      <c r="B40" s="1">
        <v>46064</v>
      </c>
      <c r="C40" t="s">
        <v>18</v>
      </c>
      <c r="D40" t="s">
        <v>21</v>
      </c>
      <c r="E40" t="s">
        <v>75</v>
      </c>
      <c r="F40" s="2">
        <v>1360.31</v>
      </c>
      <c r="G40" s="2"/>
    </row>
    <row r="41" spans="1:7">
      <c r="A41" t="s">
        <v>36</v>
      </c>
      <c r="B41" s="1">
        <v>46066</v>
      </c>
      <c r="C41" t="s">
        <v>18</v>
      </c>
      <c r="D41" t="s">
        <v>19</v>
      </c>
      <c r="E41" t="s">
        <v>17</v>
      </c>
      <c r="F41" s="2">
        <v>2443.02</v>
      </c>
      <c r="G41" s="2"/>
    </row>
    <row r="42" spans="1:7">
      <c r="A42" t="s">
        <v>36</v>
      </c>
      <c r="B42" s="1">
        <v>46068</v>
      </c>
      <c r="C42" t="s">
        <v>25</v>
      </c>
      <c r="D42" t="s">
        <v>26</v>
      </c>
      <c r="E42" t="s">
        <v>22</v>
      </c>
      <c r="F42" s="2">
        <v>885.82</v>
      </c>
      <c r="G42" s="2"/>
    </row>
    <row r="43" spans="1:7">
      <c r="A43" t="s">
        <v>36</v>
      </c>
      <c r="B43" s="1">
        <v>46069</v>
      </c>
      <c r="C43" t="s">
        <v>11</v>
      </c>
      <c r="D43" t="s">
        <v>12</v>
      </c>
      <c r="E43" t="s">
        <v>22</v>
      </c>
      <c r="F43" s="2">
        <v>3090.1</v>
      </c>
      <c r="G43" s="2"/>
    </row>
    <row r="44" spans="1:7">
      <c r="A44" t="s">
        <v>36</v>
      </c>
      <c r="B44" s="1">
        <v>46070</v>
      </c>
      <c r="C44" t="s">
        <v>18</v>
      </c>
      <c r="D44" t="s">
        <v>21</v>
      </c>
      <c r="E44" t="s">
        <v>27</v>
      </c>
      <c r="F44" s="2">
        <v>2311.52</v>
      </c>
      <c r="G44" s="2"/>
    </row>
    <row r="45" spans="1:7">
      <c r="A45" t="s">
        <v>36</v>
      </c>
      <c r="B45" s="1">
        <v>46070</v>
      </c>
      <c r="C45" t="s">
        <v>18</v>
      </c>
      <c r="D45" t="s">
        <v>19</v>
      </c>
      <c r="E45" t="s">
        <v>17</v>
      </c>
      <c r="F45" s="2">
        <v>3042.74</v>
      </c>
      <c r="G45" s="2"/>
    </row>
    <row r="46" spans="1:7">
      <c r="A46" t="s">
        <v>36</v>
      </c>
      <c r="B46" s="1">
        <v>46072</v>
      </c>
      <c r="C46" t="s">
        <v>18</v>
      </c>
      <c r="D46" t="s">
        <v>21</v>
      </c>
      <c r="E46" t="s">
        <v>28</v>
      </c>
      <c r="F46" s="2">
        <v>2336.13</v>
      </c>
      <c r="G46" s="2"/>
    </row>
    <row r="47" spans="1:7">
      <c r="A47" t="s">
        <v>36</v>
      </c>
      <c r="B47" s="1">
        <v>46072</v>
      </c>
      <c r="C47" t="s">
        <v>7</v>
      </c>
      <c r="D47" t="s">
        <v>23</v>
      </c>
      <c r="E47" t="s">
        <v>10</v>
      </c>
      <c r="F47" s="2">
        <v>4008.73</v>
      </c>
      <c r="G47" s="2"/>
    </row>
    <row r="48" spans="1:7">
      <c r="A48" t="s">
        <v>36</v>
      </c>
      <c r="B48" s="1">
        <v>46074</v>
      </c>
      <c r="C48" t="s">
        <v>15</v>
      </c>
      <c r="D48" t="s">
        <v>29</v>
      </c>
      <c r="E48" t="s">
        <v>14</v>
      </c>
      <c r="F48" s="2">
        <v>5405.07</v>
      </c>
      <c r="G48" s="2"/>
    </row>
    <row r="49" spans="1:7">
      <c r="A49" t="s">
        <v>36</v>
      </c>
      <c r="B49" s="1">
        <v>46075</v>
      </c>
      <c r="C49" t="s">
        <v>7</v>
      </c>
      <c r="D49" t="s">
        <v>8</v>
      </c>
      <c r="E49" t="s">
        <v>9</v>
      </c>
      <c r="F49" s="2">
        <v>2331.36</v>
      </c>
      <c r="G49" s="2"/>
    </row>
    <row r="50" spans="1:7">
      <c r="A50" t="s">
        <v>36</v>
      </c>
      <c r="B50" s="1">
        <v>46076</v>
      </c>
      <c r="C50" t="s">
        <v>25</v>
      </c>
      <c r="D50" t="s">
        <v>26</v>
      </c>
      <c r="E50" t="s">
        <v>10</v>
      </c>
      <c r="F50" s="2">
        <v>859.64</v>
      </c>
      <c r="G50" s="2"/>
    </row>
    <row r="51" spans="1:7">
      <c r="A51" t="s">
        <v>36</v>
      </c>
      <c r="B51" s="1">
        <v>46076</v>
      </c>
      <c r="C51" t="s">
        <v>7</v>
      </c>
      <c r="D51" t="s">
        <v>8</v>
      </c>
      <c r="E51" t="s">
        <v>75</v>
      </c>
      <c r="F51" s="2">
        <v>3181.12</v>
      </c>
      <c r="G51" s="2"/>
    </row>
    <row r="52" spans="1:7">
      <c r="A52" t="s">
        <v>36</v>
      </c>
      <c r="B52" s="1">
        <v>46077</v>
      </c>
      <c r="C52" t="s">
        <v>7</v>
      </c>
      <c r="D52" t="s">
        <v>8</v>
      </c>
      <c r="E52" t="s">
        <v>28</v>
      </c>
      <c r="F52" s="2">
        <v>3270.13</v>
      </c>
      <c r="G52" s="2"/>
    </row>
    <row r="53" spans="1:7">
      <c r="A53" t="s">
        <v>36</v>
      </c>
      <c r="B53" s="1">
        <v>46077</v>
      </c>
      <c r="C53" t="s">
        <v>25</v>
      </c>
      <c r="D53" t="s">
        <v>30</v>
      </c>
      <c r="E53" t="s">
        <v>27</v>
      </c>
      <c r="F53" s="2">
        <v>3471.58</v>
      </c>
      <c r="G53" s="2"/>
    </row>
    <row r="54" spans="1:7">
      <c r="A54" t="s">
        <v>36</v>
      </c>
      <c r="B54" s="1">
        <v>46079</v>
      </c>
      <c r="C54" t="s">
        <v>11</v>
      </c>
      <c r="D54" t="s">
        <v>12</v>
      </c>
      <c r="E54" t="s">
        <v>75</v>
      </c>
      <c r="F54" s="2">
        <v>2419.7600000000002</v>
      </c>
      <c r="G54" s="2"/>
    </row>
    <row r="55" spans="1:7">
      <c r="A55" t="s">
        <v>36</v>
      </c>
      <c r="B55" s="1">
        <v>46081</v>
      </c>
      <c r="C55" t="s">
        <v>15</v>
      </c>
      <c r="D55" t="s">
        <v>29</v>
      </c>
      <c r="E55" t="s">
        <v>22</v>
      </c>
      <c r="F55" s="2">
        <v>8173.12</v>
      </c>
      <c r="G55" s="2"/>
    </row>
    <row r="56" spans="1:7">
      <c r="A56" t="s">
        <v>35</v>
      </c>
      <c r="B56" s="1">
        <v>46083</v>
      </c>
      <c r="C56" t="s">
        <v>11</v>
      </c>
      <c r="D56" t="s">
        <v>24</v>
      </c>
      <c r="E56" t="s">
        <v>75</v>
      </c>
      <c r="F56" s="2">
        <v>3190.03</v>
      </c>
      <c r="G56" s="2"/>
    </row>
    <row r="57" spans="1:7">
      <c r="A57" t="s">
        <v>35</v>
      </c>
      <c r="B57" s="1">
        <v>46084</v>
      </c>
      <c r="C57" t="s">
        <v>7</v>
      </c>
      <c r="D57" t="s">
        <v>23</v>
      </c>
      <c r="E57" t="s">
        <v>17</v>
      </c>
      <c r="F57" s="2">
        <v>2367.9</v>
      </c>
      <c r="G57" s="2"/>
    </row>
    <row r="58" spans="1:7">
      <c r="A58" t="s">
        <v>35</v>
      </c>
      <c r="B58" s="1">
        <v>46086</v>
      </c>
      <c r="C58" t="s">
        <v>7</v>
      </c>
      <c r="D58" t="s">
        <v>8</v>
      </c>
      <c r="E58" t="s">
        <v>9</v>
      </c>
      <c r="F58" s="2">
        <v>3019.37</v>
      </c>
      <c r="G58" s="2"/>
    </row>
    <row r="59" spans="1:7">
      <c r="A59" t="s">
        <v>35</v>
      </c>
      <c r="B59" s="1">
        <v>46087</v>
      </c>
      <c r="C59" t="s">
        <v>25</v>
      </c>
      <c r="D59" t="s">
        <v>26</v>
      </c>
      <c r="E59" t="s">
        <v>22</v>
      </c>
      <c r="F59" s="2">
        <v>957.01</v>
      </c>
      <c r="G59" s="2"/>
    </row>
    <row r="60" spans="1:7">
      <c r="A60" t="s">
        <v>35</v>
      </c>
      <c r="B60" s="1">
        <v>46087</v>
      </c>
      <c r="C60" t="s">
        <v>7</v>
      </c>
      <c r="D60" t="s">
        <v>23</v>
      </c>
      <c r="E60" t="s">
        <v>14</v>
      </c>
      <c r="F60" s="2">
        <v>2649.36</v>
      </c>
      <c r="G60" s="2"/>
    </row>
    <row r="61" spans="1:7">
      <c r="A61" t="s">
        <v>35</v>
      </c>
      <c r="B61" s="1">
        <v>46088</v>
      </c>
      <c r="C61" t="s">
        <v>18</v>
      </c>
      <c r="D61" t="s">
        <v>21</v>
      </c>
      <c r="E61" t="s">
        <v>13</v>
      </c>
      <c r="F61" s="2">
        <v>1993.36</v>
      </c>
      <c r="G61" s="2"/>
    </row>
    <row r="62" spans="1:7">
      <c r="A62" t="s">
        <v>35</v>
      </c>
      <c r="B62" s="1">
        <v>46089</v>
      </c>
      <c r="C62" t="s">
        <v>15</v>
      </c>
      <c r="D62" t="s">
        <v>29</v>
      </c>
      <c r="E62" t="s">
        <v>13</v>
      </c>
      <c r="F62" s="2">
        <v>4538.95</v>
      </c>
      <c r="G62" s="2"/>
    </row>
    <row r="63" spans="1:7">
      <c r="A63" t="s">
        <v>35</v>
      </c>
      <c r="B63" s="1">
        <v>46089</v>
      </c>
      <c r="C63" t="s">
        <v>25</v>
      </c>
      <c r="D63" t="s">
        <v>26</v>
      </c>
      <c r="E63" t="s">
        <v>27</v>
      </c>
      <c r="F63" s="2">
        <v>589.48</v>
      </c>
      <c r="G63" s="2"/>
    </row>
    <row r="64" spans="1:7">
      <c r="A64" t="s">
        <v>35</v>
      </c>
      <c r="B64" s="1">
        <v>46089</v>
      </c>
      <c r="C64" t="s">
        <v>18</v>
      </c>
      <c r="D64" t="s">
        <v>19</v>
      </c>
      <c r="E64" t="s">
        <v>20</v>
      </c>
      <c r="F64" s="2">
        <v>1816.12</v>
      </c>
      <c r="G64" s="2"/>
    </row>
    <row r="65" spans="1:7">
      <c r="A65" t="s">
        <v>35</v>
      </c>
      <c r="B65" s="1">
        <v>46091</v>
      </c>
      <c r="C65" t="s">
        <v>15</v>
      </c>
      <c r="D65" t="s">
        <v>29</v>
      </c>
      <c r="E65" t="s">
        <v>75</v>
      </c>
      <c r="F65" s="2">
        <v>4868.72</v>
      </c>
      <c r="G65" s="2"/>
    </row>
    <row r="66" spans="1:7">
      <c r="A66" t="s">
        <v>35</v>
      </c>
      <c r="B66" s="1">
        <v>46092</v>
      </c>
      <c r="C66" t="s">
        <v>7</v>
      </c>
      <c r="D66" t="s">
        <v>8</v>
      </c>
      <c r="E66" t="s">
        <v>10</v>
      </c>
      <c r="F66" s="2">
        <v>3828.63</v>
      </c>
      <c r="G66" s="2"/>
    </row>
    <row r="67" spans="1:7">
      <c r="A67" t="s">
        <v>35</v>
      </c>
      <c r="B67" s="1">
        <v>46092</v>
      </c>
      <c r="C67" t="s">
        <v>15</v>
      </c>
      <c r="D67" t="s">
        <v>29</v>
      </c>
      <c r="E67" t="s">
        <v>13</v>
      </c>
      <c r="F67" s="2">
        <v>2759.77</v>
      </c>
      <c r="G67" s="2"/>
    </row>
    <row r="68" spans="1:7">
      <c r="A68" t="s">
        <v>35</v>
      </c>
      <c r="B68" s="1">
        <v>46094</v>
      </c>
      <c r="C68" t="s">
        <v>25</v>
      </c>
      <c r="D68" t="s">
        <v>30</v>
      </c>
      <c r="E68" t="s">
        <v>9</v>
      </c>
      <c r="F68" s="2">
        <v>3404.09</v>
      </c>
      <c r="G68" s="2"/>
    </row>
    <row r="69" spans="1:7">
      <c r="A69" t="s">
        <v>35</v>
      </c>
      <c r="B69" s="1">
        <v>46094</v>
      </c>
      <c r="C69" t="s">
        <v>7</v>
      </c>
      <c r="D69" t="s">
        <v>8</v>
      </c>
      <c r="E69" t="s">
        <v>28</v>
      </c>
      <c r="F69" s="2">
        <v>4840.59</v>
      </c>
      <c r="G69" s="2"/>
    </row>
    <row r="70" spans="1:7">
      <c r="A70" t="s">
        <v>35</v>
      </c>
      <c r="B70" s="1">
        <v>46094</v>
      </c>
      <c r="C70" t="s">
        <v>15</v>
      </c>
      <c r="D70" t="s">
        <v>16</v>
      </c>
      <c r="E70" t="s">
        <v>20</v>
      </c>
      <c r="F70" s="2">
        <v>3206.65</v>
      </c>
      <c r="G70" s="2"/>
    </row>
    <row r="71" spans="1:7">
      <c r="A71" t="s">
        <v>35</v>
      </c>
      <c r="B71" s="1">
        <v>46094</v>
      </c>
      <c r="C71" t="s">
        <v>11</v>
      </c>
      <c r="D71" t="s">
        <v>12</v>
      </c>
      <c r="E71" t="s">
        <v>14</v>
      </c>
      <c r="F71" s="2">
        <v>1410.72</v>
      </c>
      <c r="G71" s="2"/>
    </row>
    <row r="72" spans="1:7">
      <c r="A72" t="s">
        <v>35</v>
      </c>
      <c r="B72" s="1">
        <v>46095</v>
      </c>
      <c r="C72" t="s">
        <v>11</v>
      </c>
      <c r="D72" t="s">
        <v>12</v>
      </c>
      <c r="E72" t="s">
        <v>28</v>
      </c>
      <c r="F72" s="2">
        <v>1051.6400000000001</v>
      </c>
      <c r="G72" s="2"/>
    </row>
    <row r="73" spans="1:7">
      <c r="A73" t="s">
        <v>35</v>
      </c>
      <c r="B73" s="1">
        <v>46095</v>
      </c>
      <c r="C73" t="s">
        <v>18</v>
      </c>
      <c r="D73" t="s">
        <v>19</v>
      </c>
      <c r="E73" t="s">
        <v>20</v>
      </c>
      <c r="F73" s="2">
        <v>1355.21</v>
      </c>
      <c r="G73" s="2"/>
    </row>
    <row r="74" spans="1:7">
      <c r="A74" t="s">
        <v>35</v>
      </c>
      <c r="B74" s="1">
        <v>46096</v>
      </c>
      <c r="C74" t="s">
        <v>7</v>
      </c>
      <c r="D74" t="s">
        <v>23</v>
      </c>
      <c r="E74" t="s">
        <v>75</v>
      </c>
      <c r="F74" s="2">
        <v>3477.6</v>
      </c>
      <c r="G74" s="2"/>
    </row>
    <row r="75" spans="1:7">
      <c r="A75" t="s">
        <v>35</v>
      </c>
      <c r="B75" s="1">
        <v>46096</v>
      </c>
      <c r="C75" t="s">
        <v>15</v>
      </c>
      <c r="D75" t="s">
        <v>16</v>
      </c>
      <c r="E75" t="s">
        <v>17</v>
      </c>
      <c r="F75" s="2">
        <v>2455.4699999999998</v>
      </c>
      <c r="G75" s="2"/>
    </row>
    <row r="76" spans="1:7">
      <c r="A76" t="s">
        <v>35</v>
      </c>
      <c r="B76" s="1">
        <v>46097</v>
      </c>
      <c r="C76" t="s">
        <v>25</v>
      </c>
      <c r="D76" t="s">
        <v>26</v>
      </c>
      <c r="E76" t="s">
        <v>13</v>
      </c>
      <c r="F76" s="2">
        <v>691.61</v>
      </c>
      <c r="G76" s="2"/>
    </row>
    <row r="77" spans="1:7">
      <c r="A77" t="s">
        <v>35</v>
      </c>
      <c r="B77" s="1">
        <v>46102</v>
      </c>
      <c r="C77" t="s">
        <v>18</v>
      </c>
      <c r="D77" t="s">
        <v>21</v>
      </c>
      <c r="E77" t="s">
        <v>14</v>
      </c>
      <c r="F77" s="2">
        <v>2410.0100000000002</v>
      </c>
      <c r="G77" s="2"/>
    </row>
    <row r="78" spans="1:7">
      <c r="A78" t="s">
        <v>35</v>
      </c>
      <c r="B78" s="1">
        <v>46103</v>
      </c>
      <c r="C78" t="s">
        <v>11</v>
      </c>
      <c r="D78" t="s">
        <v>12</v>
      </c>
      <c r="E78" t="s">
        <v>75</v>
      </c>
      <c r="F78" s="2">
        <v>1360.35</v>
      </c>
      <c r="G78" s="2"/>
    </row>
    <row r="79" spans="1:7">
      <c r="A79" t="s">
        <v>35</v>
      </c>
      <c r="B79" s="1">
        <v>46103</v>
      </c>
      <c r="C79" t="s">
        <v>11</v>
      </c>
      <c r="D79" t="s">
        <v>24</v>
      </c>
      <c r="E79" t="s">
        <v>9</v>
      </c>
      <c r="F79" s="2">
        <v>2907.63</v>
      </c>
      <c r="G79" s="2"/>
    </row>
    <row r="80" spans="1:7">
      <c r="A80" t="s">
        <v>35</v>
      </c>
      <c r="B80" s="1">
        <v>46105</v>
      </c>
      <c r="C80" t="s">
        <v>25</v>
      </c>
      <c r="D80" t="s">
        <v>30</v>
      </c>
      <c r="E80" t="s">
        <v>9</v>
      </c>
      <c r="F80" s="2">
        <v>3704.64</v>
      </c>
      <c r="G80" s="2"/>
    </row>
    <row r="81" spans="1:7">
      <c r="A81" t="s">
        <v>35</v>
      </c>
      <c r="B81" s="1">
        <v>46105</v>
      </c>
      <c r="C81" t="s">
        <v>11</v>
      </c>
      <c r="D81" t="s">
        <v>24</v>
      </c>
      <c r="E81" t="s">
        <v>20</v>
      </c>
      <c r="F81" s="2">
        <v>4358.07</v>
      </c>
      <c r="G81" s="2"/>
    </row>
    <row r="82" spans="1:7">
      <c r="A82" t="s">
        <v>35</v>
      </c>
      <c r="B82" s="1">
        <v>46106</v>
      </c>
      <c r="C82" t="s">
        <v>25</v>
      </c>
      <c r="D82" t="s">
        <v>26</v>
      </c>
      <c r="E82" t="s">
        <v>9</v>
      </c>
      <c r="F82" s="2">
        <v>918.46</v>
      </c>
      <c r="G82" s="2"/>
    </row>
    <row r="83" spans="1:7">
      <c r="A83" t="s">
        <v>35</v>
      </c>
      <c r="B83" s="1">
        <v>46107</v>
      </c>
      <c r="C83" t="s">
        <v>18</v>
      </c>
      <c r="D83" t="s">
        <v>19</v>
      </c>
      <c r="E83" t="s">
        <v>22</v>
      </c>
      <c r="F83" s="2">
        <v>1514.86</v>
      </c>
      <c r="G83" s="2"/>
    </row>
    <row r="84" spans="1:7">
      <c r="A84" t="s">
        <v>35</v>
      </c>
      <c r="B84" s="1">
        <v>46107</v>
      </c>
      <c r="C84" t="s">
        <v>11</v>
      </c>
      <c r="D84" t="s">
        <v>12</v>
      </c>
      <c r="E84" t="s">
        <v>13</v>
      </c>
      <c r="F84" s="2">
        <v>1119.01</v>
      </c>
      <c r="G84" s="2"/>
    </row>
    <row r="85" spans="1:7">
      <c r="A85" t="s">
        <v>35</v>
      </c>
      <c r="B85" s="1">
        <v>46107</v>
      </c>
      <c r="C85" t="s">
        <v>18</v>
      </c>
      <c r="D85" t="s">
        <v>21</v>
      </c>
      <c r="E85" t="s">
        <v>14</v>
      </c>
      <c r="F85" s="2">
        <v>2403.88</v>
      </c>
      <c r="G85" s="2"/>
    </row>
    <row r="86" spans="1:7">
      <c r="A86" t="s">
        <v>35</v>
      </c>
      <c r="B86" s="1">
        <v>46108</v>
      </c>
      <c r="C86" t="s">
        <v>7</v>
      </c>
      <c r="D86" t="s">
        <v>23</v>
      </c>
      <c r="E86" t="s">
        <v>10</v>
      </c>
      <c r="F86" s="2">
        <v>3151.87</v>
      </c>
      <c r="G86" s="2"/>
    </row>
    <row r="87" spans="1:7">
      <c r="A87" t="s">
        <v>35</v>
      </c>
      <c r="B87" s="1">
        <v>46109</v>
      </c>
      <c r="C87" t="s">
        <v>18</v>
      </c>
      <c r="D87" t="s">
        <v>19</v>
      </c>
      <c r="E87" t="s">
        <v>75</v>
      </c>
      <c r="F87" s="2">
        <v>1885.03</v>
      </c>
      <c r="G87" s="2"/>
    </row>
    <row r="88" spans="1:7">
      <c r="A88" t="s">
        <v>34</v>
      </c>
      <c r="B88" s="1">
        <v>46114</v>
      </c>
      <c r="C88" t="s">
        <v>7</v>
      </c>
      <c r="D88" t="s">
        <v>23</v>
      </c>
      <c r="E88" t="s">
        <v>9</v>
      </c>
      <c r="F88" s="2">
        <v>5343.37</v>
      </c>
      <c r="G88" s="2"/>
    </row>
    <row r="89" spans="1:7">
      <c r="A89" t="s">
        <v>34</v>
      </c>
      <c r="B89" s="1">
        <v>46115</v>
      </c>
      <c r="C89" t="s">
        <v>7</v>
      </c>
      <c r="D89" t="s">
        <v>8</v>
      </c>
      <c r="E89" t="s">
        <v>22</v>
      </c>
      <c r="F89" s="2">
        <v>3958.53</v>
      </c>
      <c r="G89" s="2"/>
    </row>
    <row r="90" spans="1:7">
      <c r="A90" t="s">
        <v>34</v>
      </c>
      <c r="B90" s="1">
        <v>46115</v>
      </c>
      <c r="C90" t="s">
        <v>15</v>
      </c>
      <c r="D90" t="s">
        <v>16</v>
      </c>
      <c r="E90" t="s">
        <v>9</v>
      </c>
      <c r="F90" s="2">
        <v>1371.45</v>
      </c>
      <c r="G90" s="2"/>
    </row>
    <row r="91" spans="1:7">
      <c r="A91" t="s">
        <v>34</v>
      </c>
      <c r="B91" s="1">
        <v>46115</v>
      </c>
      <c r="C91" t="s">
        <v>11</v>
      </c>
      <c r="D91" t="s">
        <v>12</v>
      </c>
      <c r="E91" t="s">
        <v>75</v>
      </c>
      <c r="F91" s="2">
        <v>2239.29</v>
      </c>
      <c r="G91" s="2"/>
    </row>
    <row r="92" spans="1:7">
      <c r="A92" t="s">
        <v>34</v>
      </c>
      <c r="B92" s="1">
        <v>46119</v>
      </c>
      <c r="C92" t="s">
        <v>11</v>
      </c>
      <c r="D92" t="s">
        <v>12</v>
      </c>
      <c r="E92" t="s">
        <v>14</v>
      </c>
      <c r="F92" s="2">
        <v>1427.94</v>
      </c>
      <c r="G92" s="2"/>
    </row>
    <row r="93" spans="1:7">
      <c r="A93" t="s">
        <v>34</v>
      </c>
      <c r="B93" s="1">
        <v>46119</v>
      </c>
      <c r="C93" t="s">
        <v>25</v>
      </c>
      <c r="D93" t="s">
        <v>26</v>
      </c>
      <c r="E93" t="s">
        <v>27</v>
      </c>
      <c r="F93" s="2">
        <v>1382.94</v>
      </c>
      <c r="G93" s="2"/>
    </row>
    <row r="94" spans="1:7">
      <c r="A94" t="s">
        <v>34</v>
      </c>
      <c r="B94" s="1">
        <v>46120</v>
      </c>
      <c r="C94" t="s">
        <v>18</v>
      </c>
      <c r="D94" t="s">
        <v>19</v>
      </c>
      <c r="E94" t="s">
        <v>9</v>
      </c>
      <c r="F94" s="2">
        <v>1366.25</v>
      </c>
      <c r="G94" s="2"/>
    </row>
    <row r="95" spans="1:7">
      <c r="A95" t="s">
        <v>34</v>
      </c>
      <c r="B95" s="1">
        <v>46122</v>
      </c>
      <c r="C95" t="s">
        <v>15</v>
      </c>
      <c r="D95" t="s">
        <v>29</v>
      </c>
      <c r="E95" t="s">
        <v>75</v>
      </c>
      <c r="F95" s="2">
        <v>4851.3100000000004</v>
      </c>
      <c r="G95" s="2"/>
    </row>
    <row r="96" spans="1:7">
      <c r="A96" t="s">
        <v>34</v>
      </c>
      <c r="B96" s="1">
        <v>46122</v>
      </c>
      <c r="C96" t="s">
        <v>25</v>
      </c>
      <c r="D96" t="s">
        <v>26</v>
      </c>
      <c r="E96" t="s">
        <v>75</v>
      </c>
      <c r="F96" s="2">
        <v>1147.69</v>
      </c>
      <c r="G96" s="2"/>
    </row>
    <row r="97" spans="1:7">
      <c r="A97" t="s">
        <v>34</v>
      </c>
      <c r="B97" s="1">
        <v>46124</v>
      </c>
      <c r="C97" t="s">
        <v>7</v>
      </c>
      <c r="D97" t="s">
        <v>23</v>
      </c>
      <c r="E97" t="s">
        <v>27</v>
      </c>
      <c r="F97" s="2">
        <v>5424.71</v>
      </c>
      <c r="G97" s="2"/>
    </row>
    <row r="98" spans="1:7">
      <c r="A98" t="s">
        <v>34</v>
      </c>
      <c r="B98" s="1">
        <v>46127</v>
      </c>
      <c r="C98" t="s">
        <v>7</v>
      </c>
      <c r="D98" t="s">
        <v>8</v>
      </c>
      <c r="E98" t="s">
        <v>13</v>
      </c>
      <c r="F98" s="2">
        <v>5056.71</v>
      </c>
      <c r="G98" s="2"/>
    </row>
    <row r="99" spans="1:7">
      <c r="A99" t="s">
        <v>34</v>
      </c>
      <c r="B99" s="1">
        <v>46127</v>
      </c>
      <c r="C99" t="s">
        <v>11</v>
      </c>
      <c r="D99" t="s">
        <v>24</v>
      </c>
      <c r="E99" t="s">
        <v>17</v>
      </c>
      <c r="F99" s="2">
        <v>2234.44</v>
      </c>
      <c r="G99" s="2"/>
    </row>
    <row r="100" spans="1:7">
      <c r="A100" t="s">
        <v>34</v>
      </c>
      <c r="B100" s="1">
        <v>46128</v>
      </c>
      <c r="C100" t="s">
        <v>18</v>
      </c>
      <c r="D100" t="s">
        <v>21</v>
      </c>
      <c r="E100" t="s">
        <v>14</v>
      </c>
      <c r="F100" s="2">
        <v>3925.67</v>
      </c>
      <c r="G100" s="2"/>
    </row>
    <row r="101" spans="1:7">
      <c r="A101" t="s">
        <v>34</v>
      </c>
      <c r="B101" s="1">
        <v>46129</v>
      </c>
      <c r="C101" t="s">
        <v>11</v>
      </c>
      <c r="D101" t="s">
        <v>24</v>
      </c>
      <c r="E101" t="s">
        <v>75</v>
      </c>
      <c r="F101" s="2">
        <v>1545.56</v>
      </c>
      <c r="G101" s="2"/>
    </row>
    <row r="102" spans="1:7">
      <c r="A102" t="s">
        <v>34</v>
      </c>
      <c r="B102" s="1">
        <v>46131</v>
      </c>
      <c r="C102" t="s">
        <v>18</v>
      </c>
      <c r="D102" t="s">
        <v>19</v>
      </c>
      <c r="E102" t="s">
        <v>14</v>
      </c>
      <c r="F102" s="2">
        <v>1338.32</v>
      </c>
      <c r="G102" s="2"/>
    </row>
    <row r="103" spans="1:7">
      <c r="A103" t="s">
        <v>34</v>
      </c>
      <c r="B103" s="1">
        <v>46131</v>
      </c>
      <c r="C103" t="s">
        <v>11</v>
      </c>
      <c r="D103" t="s">
        <v>24</v>
      </c>
      <c r="E103" t="s">
        <v>22</v>
      </c>
      <c r="F103" s="2">
        <v>2206.62</v>
      </c>
      <c r="G103" s="2"/>
    </row>
    <row r="104" spans="1:7">
      <c r="A104" t="s">
        <v>34</v>
      </c>
      <c r="B104" s="1">
        <v>46132</v>
      </c>
      <c r="C104" t="s">
        <v>15</v>
      </c>
      <c r="D104" t="s">
        <v>16</v>
      </c>
      <c r="E104" t="s">
        <v>10</v>
      </c>
      <c r="F104" s="2">
        <v>1712.92</v>
      </c>
      <c r="G104" s="2"/>
    </row>
    <row r="105" spans="1:7">
      <c r="A105" t="s">
        <v>34</v>
      </c>
      <c r="B105" s="1">
        <v>46132</v>
      </c>
      <c r="C105" t="s">
        <v>25</v>
      </c>
      <c r="D105" t="s">
        <v>30</v>
      </c>
      <c r="E105" t="s">
        <v>14</v>
      </c>
      <c r="F105" s="2">
        <v>2689.37</v>
      </c>
      <c r="G105" s="2"/>
    </row>
    <row r="106" spans="1:7">
      <c r="A106" t="s">
        <v>34</v>
      </c>
      <c r="B106" s="1">
        <v>46132</v>
      </c>
      <c r="C106" t="s">
        <v>15</v>
      </c>
      <c r="D106" t="s">
        <v>29</v>
      </c>
      <c r="E106" t="s">
        <v>75</v>
      </c>
      <c r="F106" s="2">
        <v>5416.81</v>
      </c>
      <c r="G106" s="2"/>
    </row>
    <row r="107" spans="1:7">
      <c r="A107" t="s">
        <v>34</v>
      </c>
      <c r="B107" s="1">
        <v>46135</v>
      </c>
      <c r="C107" t="s">
        <v>18</v>
      </c>
      <c r="D107" t="s">
        <v>21</v>
      </c>
      <c r="E107" t="s">
        <v>13</v>
      </c>
      <c r="F107" s="2">
        <v>3006.7</v>
      </c>
      <c r="G107" s="2"/>
    </row>
    <row r="108" spans="1:7">
      <c r="A108" t="s">
        <v>34</v>
      </c>
      <c r="B108" s="1">
        <v>46135</v>
      </c>
      <c r="C108" t="s">
        <v>11</v>
      </c>
      <c r="D108" t="s">
        <v>12</v>
      </c>
      <c r="E108" t="s">
        <v>75</v>
      </c>
      <c r="F108" s="2">
        <v>2167.56</v>
      </c>
      <c r="G108" s="2"/>
    </row>
    <row r="109" spans="1:7">
      <c r="A109" t="s">
        <v>34</v>
      </c>
      <c r="B109" s="1">
        <v>46135</v>
      </c>
      <c r="C109" t="s">
        <v>25</v>
      </c>
      <c r="D109" t="s">
        <v>30</v>
      </c>
      <c r="E109" t="s">
        <v>14</v>
      </c>
      <c r="F109" s="2">
        <v>3115.86</v>
      </c>
      <c r="G109" s="2"/>
    </row>
    <row r="110" spans="1:7">
      <c r="A110" t="s">
        <v>34</v>
      </c>
      <c r="B110" s="1">
        <v>46136</v>
      </c>
      <c r="C110" t="s">
        <v>18</v>
      </c>
      <c r="D110" t="s">
        <v>19</v>
      </c>
      <c r="E110" t="s">
        <v>14</v>
      </c>
      <c r="F110" s="2">
        <v>1476.49</v>
      </c>
      <c r="G110" s="2"/>
    </row>
    <row r="111" spans="1:7">
      <c r="A111" t="s">
        <v>34</v>
      </c>
      <c r="B111" s="1">
        <v>46137</v>
      </c>
      <c r="C111" t="s">
        <v>18</v>
      </c>
      <c r="D111" t="s">
        <v>19</v>
      </c>
      <c r="E111" t="s">
        <v>13</v>
      </c>
      <c r="F111" s="2">
        <v>1770.81</v>
      </c>
      <c r="G111" s="2"/>
    </row>
    <row r="112" spans="1:7">
      <c r="A112" t="s">
        <v>34</v>
      </c>
      <c r="B112" s="1">
        <v>46139</v>
      </c>
      <c r="C112" t="s">
        <v>25</v>
      </c>
      <c r="D112" t="s">
        <v>26</v>
      </c>
      <c r="E112" t="s">
        <v>9</v>
      </c>
      <c r="F112" s="2">
        <v>1236.3599999999999</v>
      </c>
      <c r="G112" s="2"/>
    </row>
    <row r="113" spans="1:7">
      <c r="A113" t="s">
        <v>34</v>
      </c>
      <c r="B113" s="1">
        <v>46139</v>
      </c>
      <c r="C113" t="s">
        <v>25</v>
      </c>
      <c r="D113" t="s">
        <v>26</v>
      </c>
      <c r="E113" t="s">
        <v>14</v>
      </c>
      <c r="F113" s="2">
        <v>1456.28</v>
      </c>
      <c r="G113" s="2"/>
    </row>
    <row r="114" spans="1:7">
      <c r="A114" t="s">
        <v>34</v>
      </c>
      <c r="B114" s="1">
        <v>46139</v>
      </c>
      <c r="C114" t="s">
        <v>11</v>
      </c>
      <c r="D114" t="s">
        <v>24</v>
      </c>
      <c r="E114" t="s">
        <v>10</v>
      </c>
      <c r="F114" s="2">
        <v>2323.15</v>
      </c>
      <c r="G114" s="2"/>
    </row>
    <row r="115" spans="1:7">
      <c r="A115" t="s">
        <v>34</v>
      </c>
      <c r="B115" s="1">
        <v>46140</v>
      </c>
      <c r="C115" t="s">
        <v>15</v>
      </c>
      <c r="D115" t="s">
        <v>16</v>
      </c>
      <c r="E115" t="s">
        <v>28</v>
      </c>
      <c r="F115" s="2">
        <v>1542.07</v>
      </c>
      <c r="G115" s="2"/>
    </row>
    <row r="116" spans="1:7">
      <c r="A116" t="s">
        <v>33</v>
      </c>
      <c r="B116" s="1">
        <v>46143</v>
      </c>
      <c r="C116" t="s">
        <v>18</v>
      </c>
      <c r="D116" t="s">
        <v>19</v>
      </c>
      <c r="E116" t="s">
        <v>28</v>
      </c>
      <c r="F116" s="2">
        <v>1486.99</v>
      </c>
      <c r="G116" s="2"/>
    </row>
    <row r="117" spans="1:7">
      <c r="A117" t="s">
        <v>33</v>
      </c>
      <c r="B117" s="1">
        <v>46143</v>
      </c>
      <c r="C117" t="s">
        <v>7</v>
      </c>
      <c r="D117" t="s">
        <v>8</v>
      </c>
      <c r="E117" t="s">
        <v>9</v>
      </c>
      <c r="F117" s="2">
        <v>6167.28</v>
      </c>
      <c r="G117" s="2"/>
    </row>
    <row r="118" spans="1:7">
      <c r="A118" t="s">
        <v>33</v>
      </c>
      <c r="B118" s="1">
        <v>46144</v>
      </c>
      <c r="C118" t="s">
        <v>11</v>
      </c>
      <c r="D118" t="s">
        <v>12</v>
      </c>
      <c r="E118" t="s">
        <v>13</v>
      </c>
      <c r="F118" s="2">
        <v>1304.77</v>
      </c>
      <c r="G118" s="2"/>
    </row>
    <row r="119" spans="1:7">
      <c r="A119" t="s">
        <v>33</v>
      </c>
      <c r="B119" s="1">
        <v>46144</v>
      </c>
      <c r="C119" t="s">
        <v>15</v>
      </c>
      <c r="D119" t="s">
        <v>16</v>
      </c>
      <c r="E119" t="s">
        <v>17</v>
      </c>
      <c r="F119" s="2">
        <v>2599.17</v>
      </c>
      <c r="G119" s="2"/>
    </row>
    <row r="120" spans="1:7">
      <c r="A120" t="s">
        <v>33</v>
      </c>
      <c r="B120" s="1">
        <v>46147</v>
      </c>
      <c r="C120" t="s">
        <v>15</v>
      </c>
      <c r="D120" t="s">
        <v>16</v>
      </c>
      <c r="E120" t="s">
        <v>27</v>
      </c>
      <c r="F120" s="2">
        <v>1935.49</v>
      </c>
      <c r="G120" s="2"/>
    </row>
    <row r="121" spans="1:7">
      <c r="A121" t="s">
        <v>33</v>
      </c>
      <c r="B121" s="1">
        <v>46148</v>
      </c>
      <c r="C121" t="s">
        <v>25</v>
      </c>
      <c r="D121" t="s">
        <v>26</v>
      </c>
      <c r="E121" t="s">
        <v>14</v>
      </c>
      <c r="F121" s="2">
        <v>2017.85</v>
      </c>
      <c r="G121" s="2"/>
    </row>
    <row r="122" spans="1:7">
      <c r="A122" t="s">
        <v>33</v>
      </c>
      <c r="B122" s="1">
        <v>46150</v>
      </c>
      <c r="C122" t="s">
        <v>15</v>
      </c>
      <c r="D122" t="s">
        <v>29</v>
      </c>
      <c r="E122" t="s">
        <v>9</v>
      </c>
      <c r="F122" s="2">
        <v>4844.1099999999997</v>
      </c>
      <c r="G122" s="2"/>
    </row>
    <row r="123" spans="1:7">
      <c r="A123" t="s">
        <v>33</v>
      </c>
      <c r="B123" s="1">
        <v>46151</v>
      </c>
      <c r="C123" t="s">
        <v>18</v>
      </c>
      <c r="D123" t="s">
        <v>19</v>
      </c>
      <c r="E123" t="s">
        <v>75</v>
      </c>
      <c r="F123" s="2">
        <v>2105.9699999999998</v>
      </c>
      <c r="G123" s="2"/>
    </row>
    <row r="124" spans="1:7">
      <c r="A124" t="s">
        <v>33</v>
      </c>
      <c r="B124" s="1">
        <v>46151</v>
      </c>
      <c r="C124" t="s">
        <v>11</v>
      </c>
      <c r="D124" t="s">
        <v>24</v>
      </c>
      <c r="E124" t="s">
        <v>22</v>
      </c>
      <c r="F124" s="2">
        <v>2173.06</v>
      </c>
      <c r="G124" s="2"/>
    </row>
    <row r="125" spans="1:7">
      <c r="A125" t="s">
        <v>33</v>
      </c>
      <c r="B125" s="1">
        <v>46153</v>
      </c>
      <c r="C125" t="s">
        <v>7</v>
      </c>
      <c r="D125" t="s">
        <v>23</v>
      </c>
      <c r="E125" t="s">
        <v>20</v>
      </c>
      <c r="F125" s="2">
        <v>2391.0500000000002</v>
      </c>
      <c r="G125" s="2"/>
    </row>
    <row r="126" spans="1:7">
      <c r="A126" t="s">
        <v>33</v>
      </c>
      <c r="B126" s="1">
        <v>46153</v>
      </c>
      <c r="C126" t="s">
        <v>15</v>
      </c>
      <c r="D126" t="s">
        <v>29</v>
      </c>
      <c r="E126" t="s">
        <v>22</v>
      </c>
      <c r="F126" s="2">
        <v>4199.41</v>
      </c>
      <c r="G126" s="2"/>
    </row>
    <row r="127" spans="1:7">
      <c r="A127" t="s">
        <v>33</v>
      </c>
      <c r="B127" s="1">
        <v>46155</v>
      </c>
      <c r="C127" t="s">
        <v>18</v>
      </c>
      <c r="D127" t="s">
        <v>19</v>
      </c>
      <c r="E127" t="s">
        <v>27</v>
      </c>
      <c r="F127" s="2">
        <v>1781.62</v>
      </c>
      <c r="G127" s="2"/>
    </row>
    <row r="128" spans="1:7">
      <c r="A128" t="s">
        <v>33</v>
      </c>
      <c r="B128" s="1">
        <v>46155</v>
      </c>
      <c r="C128" t="s">
        <v>25</v>
      </c>
      <c r="D128" t="s">
        <v>30</v>
      </c>
      <c r="E128" t="s">
        <v>28</v>
      </c>
      <c r="F128" s="2">
        <v>3360.27</v>
      </c>
      <c r="G128" s="2"/>
    </row>
    <row r="129" spans="1:7">
      <c r="A129" t="s">
        <v>33</v>
      </c>
      <c r="B129" s="1">
        <v>46155</v>
      </c>
      <c r="C129" t="s">
        <v>11</v>
      </c>
      <c r="D129" t="s">
        <v>24</v>
      </c>
      <c r="E129" t="s">
        <v>13</v>
      </c>
      <c r="F129" s="2">
        <v>3168.08</v>
      </c>
      <c r="G129" s="2"/>
    </row>
    <row r="130" spans="1:7">
      <c r="A130" t="s">
        <v>33</v>
      </c>
      <c r="B130" s="1">
        <v>46156</v>
      </c>
      <c r="C130" t="s">
        <v>25</v>
      </c>
      <c r="D130" t="s">
        <v>26</v>
      </c>
      <c r="E130" t="s">
        <v>10</v>
      </c>
      <c r="F130" s="2">
        <v>1975.54</v>
      </c>
      <c r="G130" s="2"/>
    </row>
    <row r="131" spans="1:7">
      <c r="A131" t="s">
        <v>33</v>
      </c>
      <c r="B131" s="1">
        <v>46157</v>
      </c>
      <c r="C131" t="s">
        <v>25</v>
      </c>
      <c r="D131" t="s">
        <v>30</v>
      </c>
      <c r="E131" t="s">
        <v>22</v>
      </c>
      <c r="F131" s="2">
        <v>2477.9499999999998</v>
      </c>
      <c r="G131" s="2"/>
    </row>
    <row r="132" spans="1:7">
      <c r="A132" t="s">
        <v>33</v>
      </c>
      <c r="B132" s="1">
        <v>46157</v>
      </c>
      <c r="C132" t="s">
        <v>11</v>
      </c>
      <c r="D132" t="s">
        <v>12</v>
      </c>
      <c r="E132" t="s">
        <v>22</v>
      </c>
      <c r="F132" s="2">
        <v>1677.85</v>
      </c>
      <c r="G132" s="2"/>
    </row>
    <row r="133" spans="1:7">
      <c r="A133" t="s">
        <v>33</v>
      </c>
      <c r="B133" s="1">
        <v>46160</v>
      </c>
      <c r="C133" t="s">
        <v>7</v>
      </c>
      <c r="D133" t="s">
        <v>23</v>
      </c>
      <c r="E133" t="s">
        <v>75</v>
      </c>
      <c r="F133" s="2">
        <v>2036.99</v>
      </c>
      <c r="G133" s="2"/>
    </row>
    <row r="134" spans="1:7">
      <c r="A134" t="s">
        <v>33</v>
      </c>
      <c r="B134" s="1">
        <v>46162</v>
      </c>
      <c r="C134" t="s">
        <v>15</v>
      </c>
      <c r="D134" t="s">
        <v>29</v>
      </c>
      <c r="E134" t="s">
        <v>75</v>
      </c>
      <c r="F134" s="2">
        <v>3887.21</v>
      </c>
      <c r="G134" s="2"/>
    </row>
    <row r="135" spans="1:7">
      <c r="A135" t="s">
        <v>33</v>
      </c>
      <c r="B135" s="1">
        <v>46162</v>
      </c>
      <c r="C135" t="s">
        <v>11</v>
      </c>
      <c r="D135" t="s">
        <v>12</v>
      </c>
      <c r="E135" t="s">
        <v>75</v>
      </c>
      <c r="F135" s="2">
        <v>1714.28</v>
      </c>
      <c r="G135" s="2"/>
    </row>
    <row r="136" spans="1:7">
      <c r="A136" t="s">
        <v>33</v>
      </c>
      <c r="B136" s="1">
        <v>46164</v>
      </c>
      <c r="C136" t="s">
        <v>7</v>
      </c>
      <c r="D136" t="s">
        <v>23</v>
      </c>
      <c r="E136" t="s">
        <v>22</v>
      </c>
      <c r="F136" s="2">
        <v>2404.7800000000002</v>
      </c>
      <c r="G136" s="2"/>
    </row>
    <row r="137" spans="1:7">
      <c r="A137" t="s">
        <v>33</v>
      </c>
      <c r="B137" s="1">
        <v>46165</v>
      </c>
      <c r="C137" t="s">
        <v>15</v>
      </c>
      <c r="D137" t="s">
        <v>16</v>
      </c>
      <c r="E137" t="s">
        <v>14</v>
      </c>
      <c r="F137" s="2">
        <v>2419.5500000000002</v>
      </c>
      <c r="G137" s="2"/>
    </row>
    <row r="138" spans="1:7">
      <c r="A138" t="s">
        <v>33</v>
      </c>
      <c r="B138" s="1">
        <v>46165</v>
      </c>
      <c r="C138" t="s">
        <v>18</v>
      </c>
      <c r="D138" t="s">
        <v>21</v>
      </c>
      <c r="E138" t="s">
        <v>13</v>
      </c>
      <c r="F138" s="2">
        <v>3349.05</v>
      </c>
      <c r="G138" s="2"/>
    </row>
    <row r="139" spans="1:7">
      <c r="A139" t="s">
        <v>33</v>
      </c>
      <c r="B139" s="1">
        <v>46167</v>
      </c>
      <c r="C139" t="s">
        <v>11</v>
      </c>
      <c r="D139" t="s">
        <v>12</v>
      </c>
      <c r="E139" t="s">
        <v>27</v>
      </c>
      <c r="F139" s="2">
        <v>1435.7</v>
      </c>
      <c r="G139" s="2"/>
    </row>
    <row r="140" spans="1:7">
      <c r="A140" t="s">
        <v>33</v>
      </c>
      <c r="B140" s="1">
        <v>46167</v>
      </c>
      <c r="C140" t="s">
        <v>7</v>
      </c>
      <c r="D140" t="s">
        <v>23</v>
      </c>
      <c r="E140" t="s">
        <v>20</v>
      </c>
      <c r="F140" s="2">
        <v>2168.58</v>
      </c>
      <c r="G140" s="2"/>
    </row>
    <row r="141" spans="1:7">
      <c r="A141" t="s">
        <v>33</v>
      </c>
      <c r="B141" s="1">
        <v>46169</v>
      </c>
      <c r="C141" t="s">
        <v>18</v>
      </c>
      <c r="D141" t="s">
        <v>21</v>
      </c>
      <c r="E141" t="s">
        <v>27</v>
      </c>
      <c r="F141" s="2">
        <v>2534.1</v>
      </c>
      <c r="G141" s="2"/>
    </row>
    <row r="142" spans="1:7">
      <c r="A142" t="s">
        <v>33</v>
      </c>
      <c r="B142" s="1">
        <v>46170</v>
      </c>
      <c r="C142" t="s">
        <v>11</v>
      </c>
      <c r="D142" t="s">
        <v>24</v>
      </c>
      <c r="E142" t="s">
        <v>14</v>
      </c>
      <c r="F142" s="2">
        <v>3181.16</v>
      </c>
      <c r="G142" s="2"/>
    </row>
    <row r="143" spans="1:7">
      <c r="A143" t="s">
        <v>33</v>
      </c>
      <c r="B143" s="1">
        <v>46170</v>
      </c>
      <c r="C143" t="s">
        <v>25</v>
      </c>
      <c r="D143" t="s">
        <v>26</v>
      </c>
      <c r="E143" t="s">
        <v>28</v>
      </c>
      <c r="F143" s="2">
        <v>2369.9</v>
      </c>
      <c r="G143" s="2"/>
    </row>
    <row r="144" spans="1:7">
      <c r="A144" t="s">
        <v>33</v>
      </c>
      <c r="B144" s="1">
        <v>46170</v>
      </c>
      <c r="C144" t="s">
        <v>7</v>
      </c>
      <c r="D144" t="s">
        <v>8</v>
      </c>
      <c r="E144" t="s">
        <v>75</v>
      </c>
      <c r="F144" s="2">
        <v>5216.37</v>
      </c>
      <c r="G144" s="2"/>
    </row>
    <row r="145" spans="1:7">
      <c r="A145" t="s">
        <v>32</v>
      </c>
      <c r="B145" s="1">
        <v>46174</v>
      </c>
      <c r="C145" t="s">
        <v>15</v>
      </c>
      <c r="D145" t="s">
        <v>29</v>
      </c>
      <c r="E145" t="s">
        <v>20</v>
      </c>
      <c r="F145" s="2">
        <v>2220.7800000000002</v>
      </c>
      <c r="G145" s="2"/>
    </row>
    <row r="146" spans="1:7">
      <c r="A146" t="s">
        <v>32</v>
      </c>
      <c r="B146" s="1">
        <v>46174</v>
      </c>
      <c r="C146" t="s">
        <v>7</v>
      </c>
      <c r="D146" t="s">
        <v>8</v>
      </c>
      <c r="E146" t="s">
        <v>20</v>
      </c>
      <c r="F146" s="2">
        <v>2167.2600000000002</v>
      </c>
      <c r="G146" s="2"/>
    </row>
    <row r="147" spans="1:7">
      <c r="A147" t="s">
        <v>32</v>
      </c>
      <c r="B147" s="1">
        <v>46176</v>
      </c>
      <c r="C147" t="s">
        <v>7</v>
      </c>
      <c r="D147" t="s">
        <v>23</v>
      </c>
      <c r="E147" t="s">
        <v>22</v>
      </c>
      <c r="F147" s="2">
        <v>7794.96</v>
      </c>
      <c r="G147" s="2"/>
    </row>
    <row r="148" spans="1:7">
      <c r="A148" t="s">
        <v>32</v>
      </c>
      <c r="B148" s="1">
        <v>46176</v>
      </c>
      <c r="C148" t="s">
        <v>25</v>
      </c>
      <c r="D148" t="s">
        <v>30</v>
      </c>
      <c r="E148" t="s">
        <v>27</v>
      </c>
      <c r="F148" s="2">
        <v>2380.3200000000002</v>
      </c>
      <c r="G148" s="2"/>
    </row>
    <row r="149" spans="1:7">
      <c r="A149" t="s">
        <v>32</v>
      </c>
      <c r="B149" s="1">
        <v>46177</v>
      </c>
      <c r="C149" t="s">
        <v>11</v>
      </c>
      <c r="D149" t="s">
        <v>12</v>
      </c>
      <c r="E149" t="s">
        <v>20</v>
      </c>
      <c r="F149" s="2">
        <v>1147.08</v>
      </c>
      <c r="G149" s="2"/>
    </row>
    <row r="150" spans="1:7">
      <c r="A150" t="s">
        <v>32</v>
      </c>
      <c r="B150" s="1">
        <v>46177</v>
      </c>
      <c r="C150" t="s">
        <v>25</v>
      </c>
      <c r="D150" t="s">
        <v>26</v>
      </c>
      <c r="E150" t="s">
        <v>9</v>
      </c>
      <c r="F150" s="2">
        <v>695.03</v>
      </c>
      <c r="G150" s="2"/>
    </row>
    <row r="151" spans="1:7">
      <c r="A151" t="s">
        <v>32</v>
      </c>
      <c r="B151" s="1">
        <v>46177</v>
      </c>
      <c r="C151" t="s">
        <v>25</v>
      </c>
      <c r="D151" t="s">
        <v>26</v>
      </c>
      <c r="E151" t="s">
        <v>13</v>
      </c>
      <c r="F151" s="2">
        <v>739.11</v>
      </c>
      <c r="G151" s="2"/>
    </row>
    <row r="152" spans="1:7">
      <c r="A152" t="s">
        <v>32</v>
      </c>
      <c r="B152" s="1">
        <v>46177</v>
      </c>
      <c r="C152" t="s">
        <v>18</v>
      </c>
      <c r="D152" t="s">
        <v>21</v>
      </c>
      <c r="E152" t="s">
        <v>13</v>
      </c>
      <c r="F152" s="2">
        <v>2162.65</v>
      </c>
      <c r="G152" s="2"/>
    </row>
    <row r="153" spans="1:7">
      <c r="A153" t="s">
        <v>32</v>
      </c>
      <c r="B153" s="1">
        <v>46178</v>
      </c>
      <c r="C153" t="s">
        <v>7</v>
      </c>
      <c r="D153" t="s">
        <v>8</v>
      </c>
      <c r="E153" t="s">
        <v>27</v>
      </c>
      <c r="F153" s="2">
        <v>1782.6</v>
      </c>
      <c r="G153" s="2"/>
    </row>
    <row r="154" spans="1:7">
      <c r="A154" t="s">
        <v>32</v>
      </c>
      <c r="B154" s="1">
        <v>46181</v>
      </c>
      <c r="C154" t="s">
        <v>18</v>
      </c>
      <c r="D154" t="s">
        <v>21</v>
      </c>
      <c r="E154" t="s">
        <v>13</v>
      </c>
      <c r="F154" s="2">
        <v>1527.73</v>
      </c>
      <c r="G154" s="2"/>
    </row>
    <row r="155" spans="1:7">
      <c r="A155" t="s">
        <v>32</v>
      </c>
      <c r="B155" s="1">
        <v>46181</v>
      </c>
      <c r="C155" t="s">
        <v>15</v>
      </c>
      <c r="D155" t="s">
        <v>29</v>
      </c>
      <c r="E155" t="s">
        <v>14</v>
      </c>
      <c r="F155" s="2">
        <v>2212.5300000000002</v>
      </c>
      <c r="G155" s="2"/>
    </row>
    <row r="156" spans="1:7">
      <c r="A156" t="s">
        <v>32</v>
      </c>
      <c r="B156" s="1">
        <v>46181</v>
      </c>
      <c r="C156" t="s">
        <v>18</v>
      </c>
      <c r="D156" t="s">
        <v>19</v>
      </c>
      <c r="E156" t="s">
        <v>75</v>
      </c>
      <c r="F156" s="2">
        <v>1658.48</v>
      </c>
      <c r="G156" s="2"/>
    </row>
    <row r="157" spans="1:7">
      <c r="A157" t="s">
        <v>32</v>
      </c>
      <c r="B157" s="1">
        <v>46181</v>
      </c>
      <c r="C157" t="s">
        <v>7</v>
      </c>
      <c r="D157" t="s">
        <v>23</v>
      </c>
      <c r="E157" t="s">
        <v>9</v>
      </c>
      <c r="F157" s="2">
        <v>7648.54</v>
      </c>
      <c r="G157" s="2"/>
    </row>
    <row r="158" spans="1:7">
      <c r="A158" t="s">
        <v>32</v>
      </c>
      <c r="B158" s="1">
        <v>46182</v>
      </c>
      <c r="C158" t="s">
        <v>15</v>
      </c>
      <c r="D158" t="s">
        <v>16</v>
      </c>
      <c r="E158" t="s">
        <v>17</v>
      </c>
      <c r="F158" s="2">
        <v>1290.3699999999999</v>
      </c>
      <c r="G158" s="2"/>
    </row>
    <row r="159" spans="1:7">
      <c r="A159" t="s">
        <v>32</v>
      </c>
      <c r="B159" s="1">
        <v>46182</v>
      </c>
      <c r="C159" t="s">
        <v>18</v>
      </c>
      <c r="D159" t="s">
        <v>19</v>
      </c>
      <c r="E159" t="s">
        <v>13</v>
      </c>
      <c r="F159" s="2">
        <v>2167.29</v>
      </c>
      <c r="G159" s="2"/>
    </row>
    <row r="160" spans="1:7">
      <c r="A160" t="s">
        <v>32</v>
      </c>
      <c r="B160" s="1">
        <v>46182</v>
      </c>
      <c r="C160" t="s">
        <v>11</v>
      </c>
      <c r="D160" t="s">
        <v>24</v>
      </c>
      <c r="E160" t="s">
        <v>14</v>
      </c>
      <c r="F160" s="2">
        <v>6015.09</v>
      </c>
      <c r="G160" s="2"/>
    </row>
    <row r="161" spans="1:7">
      <c r="A161" t="s">
        <v>32</v>
      </c>
      <c r="B161" s="1">
        <v>46185</v>
      </c>
      <c r="C161" t="s">
        <v>11</v>
      </c>
      <c r="D161" t="s">
        <v>12</v>
      </c>
      <c r="E161" t="s">
        <v>22</v>
      </c>
      <c r="F161" s="2">
        <v>1594.3</v>
      </c>
      <c r="G161" s="2"/>
    </row>
    <row r="162" spans="1:7">
      <c r="A162" t="s">
        <v>32</v>
      </c>
      <c r="B162" s="1">
        <v>46187</v>
      </c>
      <c r="C162" t="s">
        <v>11</v>
      </c>
      <c r="D162" t="s">
        <v>24</v>
      </c>
      <c r="E162" t="s">
        <v>17</v>
      </c>
      <c r="F162" s="2">
        <v>5291.76</v>
      </c>
      <c r="G162" s="2"/>
    </row>
    <row r="163" spans="1:7">
      <c r="A163" t="s">
        <v>32</v>
      </c>
      <c r="B163" s="1">
        <v>46188</v>
      </c>
      <c r="C163" t="s">
        <v>11</v>
      </c>
      <c r="D163" t="s">
        <v>12</v>
      </c>
      <c r="E163" t="s">
        <v>20</v>
      </c>
      <c r="F163" s="2">
        <v>1579.73</v>
      </c>
      <c r="G163" s="2"/>
    </row>
    <row r="164" spans="1:7">
      <c r="A164" t="s">
        <v>32</v>
      </c>
      <c r="B164" s="1">
        <v>46188</v>
      </c>
      <c r="C164" t="s">
        <v>15</v>
      </c>
      <c r="D164" t="s">
        <v>29</v>
      </c>
      <c r="E164" t="s">
        <v>9</v>
      </c>
      <c r="F164" s="2">
        <v>1681.57</v>
      </c>
      <c r="G164" s="2"/>
    </row>
    <row r="165" spans="1:7">
      <c r="A165" t="s">
        <v>32</v>
      </c>
      <c r="B165" s="1">
        <v>46189</v>
      </c>
      <c r="C165" t="s">
        <v>15</v>
      </c>
      <c r="D165" t="s">
        <v>29</v>
      </c>
      <c r="E165" t="s">
        <v>9</v>
      </c>
      <c r="F165" s="2">
        <v>2532.5100000000002</v>
      </c>
      <c r="G165" s="2"/>
    </row>
    <row r="166" spans="1:7">
      <c r="A166" t="s">
        <v>32</v>
      </c>
      <c r="B166" s="1">
        <v>46191</v>
      </c>
      <c r="C166" t="s">
        <v>25</v>
      </c>
      <c r="D166" t="s">
        <v>26</v>
      </c>
      <c r="E166" t="s">
        <v>17</v>
      </c>
      <c r="F166" s="2">
        <v>1061</v>
      </c>
      <c r="G166" s="2"/>
    </row>
    <row r="167" spans="1:7">
      <c r="A167" t="s">
        <v>32</v>
      </c>
      <c r="B167" s="1">
        <v>46193</v>
      </c>
      <c r="C167" t="s">
        <v>18</v>
      </c>
      <c r="D167" t="s">
        <v>21</v>
      </c>
      <c r="E167" t="s">
        <v>14</v>
      </c>
      <c r="F167" s="2">
        <v>2058.0500000000002</v>
      </c>
      <c r="G167" s="2"/>
    </row>
    <row r="168" spans="1:7">
      <c r="A168" t="s">
        <v>32</v>
      </c>
      <c r="B168" s="1">
        <v>46193</v>
      </c>
      <c r="C168" t="s">
        <v>15</v>
      </c>
      <c r="D168" t="s">
        <v>16</v>
      </c>
      <c r="E168" t="s">
        <v>28</v>
      </c>
      <c r="F168" s="2">
        <v>1620.43</v>
      </c>
      <c r="G168" s="2"/>
    </row>
    <row r="169" spans="1:7">
      <c r="A169" t="s">
        <v>32</v>
      </c>
      <c r="B169" s="1">
        <v>46194</v>
      </c>
      <c r="C169" t="s">
        <v>18</v>
      </c>
      <c r="D169" t="s">
        <v>19</v>
      </c>
      <c r="E169" t="s">
        <v>20</v>
      </c>
      <c r="F169" s="2">
        <v>2112.08</v>
      </c>
      <c r="G169" s="2"/>
    </row>
    <row r="170" spans="1:7">
      <c r="A170" t="s">
        <v>32</v>
      </c>
      <c r="B170" s="1">
        <v>46194</v>
      </c>
      <c r="C170" t="s">
        <v>18</v>
      </c>
      <c r="D170" t="s">
        <v>19</v>
      </c>
      <c r="E170" t="s">
        <v>10</v>
      </c>
      <c r="F170" s="2">
        <v>2128.84</v>
      </c>
      <c r="G170" s="2"/>
    </row>
    <row r="171" spans="1:7">
      <c r="A171" t="s">
        <v>32</v>
      </c>
      <c r="B171" s="1">
        <v>46195</v>
      </c>
      <c r="C171" t="s">
        <v>25</v>
      </c>
      <c r="D171" t="s">
        <v>30</v>
      </c>
      <c r="E171" t="s">
        <v>9</v>
      </c>
      <c r="F171" s="2">
        <v>3015.26</v>
      </c>
      <c r="G171" s="2"/>
    </row>
    <row r="172" spans="1:7">
      <c r="A172" t="s">
        <v>32</v>
      </c>
      <c r="B172" s="1">
        <v>46197</v>
      </c>
      <c r="C172" t="s">
        <v>18</v>
      </c>
      <c r="D172" t="s">
        <v>21</v>
      </c>
      <c r="E172" t="s">
        <v>28</v>
      </c>
      <c r="F172" s="2">
        <v>1831.29</v>
      </c>
      <c r="G172" s="2"/>
    </row>
    <row r="173" spans="1:7">
      <c r="A173" t="s">
        <v>32</v>
      </c>
      <c r="B173" s="1">
        <v>46198</v>
      </c>
      <c r="C173" t="s">
        <v>25</v>
      </c>
      <c r="D173" t="s">
        <v>26</v>
      </c>
      <c r="E173" t="s">
        <v>28</v>
      </c>
      <c r="F173" s="2">
        <v>1019.52</v>
      </c>
      <c r="G173" s="2"/>
    </row>
    <row r="174" spans="1:7">
      <c r="A174" t="s">
        <v>32</v>
      </c>
      <c r="B174" s="1">
        <v>46199</v>
      </c>
      <c r="C174" t="s">
        <v>11</v>
      </c>
      <c r="D174" t="s">
        <v>12</v>
      </c>
      <c r="E174" t="s">
        <v>22</v>
      </c>
      <c r="F174" s="2">
        <v>1710.41</v>
      </c>
      <c r="G174" s="2"/>
    </row>
    <row r="175" spans="1:7">
      <c r="A175" t="s">
        <v>32</v>
      </c>
      <c r="B175" s="1">
        <v>46199</v>
      </c>
      <c r="C175" t="s">
        <v>15</v>
      </c>
      <c r="D175" t="s">
        <v>16</v>
      </c>
      <c r="E175" t="s">
        <v>20</v>
      </c>
      <c r="F175" s="2">
        <v>1672.04</v>
      </c>
      <c r="G175" s="2"/>
    </row>
    <row r="176" spans="1:7">
      <c r="A176" t="s">
        <v>32</v>
      </c>
      <c r="B176" s="1">
        <v>46200</v>
      </c>
      <c r="C176" t="s">
        <v>25</v>
      </c>
      <c r="D176" t="s">
        <v>30</v>
      </c>
      <c r="E176" t="s">
        <v>17</v>
      </c>
      <c r="F176" s="2">
        <v>2990.75</v>
      </c>
      <c r="G176" s="2"/>
    </row>
    <row r="177" spans="1:7">
      <c r="A177" t="s">
        <v>32</v>
      </c>
      <c r="B177" s="1">
        <v>46201</v>
      </c>
      <c r="C177" t="s">
        <v>7</v>
      </c>
      <c r="D177" t="s">
        <v>8</v>
      </c>
      <c r="E177" t="s">
        <v>22</v>
      </c>
      <c r="F177" s="2">
        <v>1706.89</v>
      </c>
      <c r="G177" s="2"/>
    </row>
    <row r="178" spans="1:7">
      <c r="A178" t="s">
        <v>32</v>
      </c>
      <c r="B178" s="1">
        <v>46201</v>
      </c>
      <c r="C178" t="s">
        <v>7</v>
      </c>
      <c r="D178" t="s">
        <v>8</v>
      </c>
      <c r="E178" t="s">
        <v>10</v>
      </c>
      <c r="F178" s="2">
        <v>1576</v>
      </c>
      <c r="G178" s="2"/>
    </row>
    <row r="179" spans="1:7">
      <c r="A179" t="s">
        <v>31</v>
      </c>
      <c r="B179" s="1">
        <v>46205</v>
      </c>
      <c r="C179" t="s">
        <v>11</v>
      </c>
      <c r="D179" t="s">
        <v>24</v>
      </c>
      <c r="E179" t="s">
        <v>20</v>
      </c>
      <c r="F179" s="2">
        <v>4143.1099999999997</v>
      </c>
      <c r="G179" s="2"/>
    </row>
    <row r="180" spans="1:7">
      <c r="A180" t="s">
        <v>31</v>
      </c>
      <c r="B180" s="1">
        <v>46205</v>
      </c>
      <c r="C180" t="s">
        <v>15</v>
      </c>
      <c r="D180" t="s">
        <v>29</v>
      </c>
      <c r="E180" t="s">
        <v>75</v>
      </c>
      <c r="F180" s="2">
        <v>2970</v>
      </c>
      <c r="G180" s="2"/>
    </row>
    <row r="181" spans="1:7">
      <c r="A181" t="s">
        <v>31</v>
      </c>
      <c r="B181" s="1">
        <v>46206</v>
      </c>
      <c r="C181" t="s">
        <v>18</v>
      </c>
      <c r="D181" t="s">
        <v>21</v>
      </c>
      <c r="E181" t="s">
        <v>28</v>
      </c>
      <c r="F181" s="2">
        <v>1761.32</v>
      </c>
      <c r="G181" s="2"/>
    </row>
    <row r="182" spans="1:7">
      <c r="A182" t="s">
        <v>31</v>
      </c>
      <c r="B182" s="1">
        <v>46207</v>
      </c>
      <c r="C182" t="s">
        <v>18</v>
      </c>
      <c r="D182" t="s">
        <v>19</v>
      </c>
      <c r="E182" t="s">
        <v>28</v>
      </c>
      <c r="F182" s="2">
        <v>2155.44</v>
      </c>
      <c r="G182" s="2"/>
    </row>
    <row r="183" spans="1:7">
      <c r="A183" t="s">
        <v>31</v>
      </c>
      <c r="B183" s="1">
        <v>46209</v>
      </c>
      <c r="C183" t="s">
        <v>7</v>
      </c>
      <c r="D183" t="s">
        <v>23</v>
      </c>
      <c r="E183" t="s">
        <v>75</v>
      </c>
      <c r="F183" s="2">
        <v>2122.2399999999998</v>
      </c>
      <c r="G183" s="2"/>
    </row>
    <row r="184" spans="1:7">
      <c r="A184" t="s">
        <v>31</v>
      </c>
      <c r="B184" s="1">
        <v>46210</v>
      </c>
      <c r="C184" t="s">
        <v>7</v>
      </c>
      <c r="D184" t="s">
        <v>23</v>
      </c>
      <c r="E184" t="s">
        <v>27</v>
      </c>
      <c r="F184" s="2">
        <v>1858.16</v>
      </c>
      <c r="G184" s="2"/>
    </row>
    <row r="185" spans="1:7">
      <c r="A185" t="s">
        <v>31</v>
      </c>
      <c r="B185" s="1">
        <v>46213</v>
      </c>
      <c r="C185" t="s">
        <v>15</v>
      </c>
      <c r="D185" t="s">
        <v>16</v>
      </c>
      <c r="E185" t="s">
        <v>22</v>
      </c>
      <c r="F185" s="2">
        <v>1202.94</v>
      </c>
      <c r="G185" s="2"/>
    </row>
    <row r="186" spans="1:7">
      <c r="A186" t="s">
        <v>31</v>
      </c>
      <c r="B186" s="1">
        <v>46213</v>
      </c>
      <c r="C186" t="s">
        <v>15</v>
      </c>
      <c r="D186" t="s">
        <v>16</v>
      </c>
      <c r="E186" t="s">
        <v>17</v>
      </c>
      <c r="F186" s="2">
        <v>1450.11</v>
      </c>
      <c r="G186" s="2"/>
    </row>
    <row r="187" spans="1:7">
      <c r="A187" t="s">
        <v>31</v>
      </c>
      <c r="B187" s="1">
        <v>46213</v>
      </c>
      <c r="C187" t="s">
        <v>25</v>
      </c>
      <c r="D187" t="s">
        <v>30</v>
      </c>
      <c r="E187" t="s">
        <v>75</v>
      </c>
      <c r="F187" s="2">
        <v>5155.21</v>
      </c>
      <c r="G187" s="2"/>
    </row>
    <row r="188" spans="1:7">
      <c r="A188" t="s">
        <v>31</v>
      </c>
      <c r="B188" s="1">
        <v>46214</v>
      </c>
      <c r="C188" t="s">
        <v>15</v>
      </c>
      <c r="D188" t="s">
        <v>29</v>
      </c>
      <c r="E188" t="s">
        <v>22</v>
      </c>
      <c r="F188" s="2">
        <v>2979.36</v>
      </c>
      <c r="G188" s="2"/>
    </row>
    <row r="189" spans="1:7">
      <c r="A189" t="s">
        <v>31</v>
      </c>
      <c r="B189" s="1">
        <v>46214</v>
      </c>
      <c r="C189" t="s">
        <v>25</v>
      </c>
      <c r="D189" t="s">
        <v>26</v>
      </c>
      <c r="E189" t="s">
        <v>28</v>
      </c>
      <c r="F189" s="2">
        <v>876.14</v>
      </c>
      <c r="G189" s="2"/>
    </row>
    <row r="190" spans="1:7">
      <c r="A190" t="s">
        <v>31</v>
      </c>
      <c r="B190" s="1">
        <v>46216</v>
      </c>
      <c r="C190" t="s">
        <v>18</v>
      </c>
      <c r="D190" t="s">
        <v>21</v>
      </c>
      <c r="E190" t="s">
        <v>75</v>
      </c>
      <c r="F190" s="2">
        <v>1994.53</v>
      </c>
      <c r="G190" s="2"/>
    </row>
    <row r="191" spans="1:7">
      <c r="A191" t="s">
        <v>31</v>
      </c>
      <c r="B191" s="1">
        <v>46218</v>
      </c>
      <c r="C191" t="s">
        <v>11</v>
      </c>
      <c r="D191" t="s">
        <v>24</v>
      </c>
      <c r="E191" t="s">
        <v>9</v>
      </c>
      <c r="F191" s="2">
        <v>3563.46</v>
      </c>
      <c r="G191" s="2"/>
    </row>
    <row r="192" spans="1:7">
      <c r="A192" t="s">
        <v>31</v>
      </c>
      <c r="B192" s="1">
        <v>46219</v>
      </c>
      <c r="C192" t="s">
        <v>7</v>
      </c>
      <c r="D192" t="s">
        <v>8</v>
      </c>
      <c r="E192" t="s">
        <v>28</v>
      </c>
      <c r="F192" s="2">
        <v>2959.03</v>
      </c>
      <c r="G192" s="2"/>
    </row>
    <row r="193" spans="1:7">
      <c r="A193" t="s">
        <v>31</v>
      </c>
      <c r="B193" s="1">
        <v>46220</v>
      </c>
      <c r="C193" t="s">
        <v>7</v>
      </c>
      <c r="D193" t="s">
        <v>8</v>
      </c>
      <c r="E193" t="s">
        <v>22</v>
      </c>
      <c r="F193" s="2">
        <v>2252.46</v>
      </c>
      <c r="G193" s="2"/>
    </row>
    <row r="194" spans="1:7">
      <c r="A194" t="s">
        <v>31</v>
      </c>
      <c r="B194" s="1">
        <v>46222</v>
      </c>
      <c r="C194" t="s">
        <v>11</v>
      </c>
      <c r="D194" t="s">
        <v>24</v>
      </c>
      <c r="E194" t="s">
        <v>27</v>
      </c>
      <c r="F194" s="2">
        <v>4191.41</v>
      </c>
      <c r="G194" s="2"/>
    </row>
    <row r="195" spans="1:7">
      <c r="A195" t="s">
        <v>31</v>
      </c>
      <c r="B195" s="1">
        <v>46222</v>
      </c>
      <c r="C195" t="s">
        <v>18</v>
      </c>
      <c r="D195" t="s">
        <v>19</v>
      </c>
      <c r="E195" t="s">
        <v>14</v>
      </c>
      <c r="F195" s="2">
        <v>1918.21</v>
      </c>
      <c r="G195" s="2"/>
    </row>
    <row r="196" spans="1:7">
      <c r="A196" t="s">
        <v>31</v>
      </c>
      <c r="B196" s="1">
        <v>46223</v>
      </c>
      <c r="C196" t="s">
        <v>11</v>
      </c>
      <c r="D196" t="s">
        <v>12</v>
      </c>
      <c r="E196" t="s">
        <v>10</v>
      </c>
      <c r="F196" s="2">
        <v>1174.52</v>
      </c>
      <c r="G196" s="2"/>
    </row>
    <row r="197" spans="1:7">
      <c r="A197" t="s">
        <v>31</v>
      </c>
      <c r="B197" s="1">
        <v>46224</v>
      </c>
      <c r="C197" t="s">
        <v>15</v>
      </c>
      <c r="D197" t="s">
        <v>16</v>
      </c>
      <c r="E197" t="s">
        <v>75</v>
      </c>
      <c r="F197" s="2">
        <v>1537.23</v>
      </c>
      <c r="G197" s="2"/>
    </row>
    <row r="198" spans="1:7">
      <c r="A198" t="s">
        <v>31</v>
      </c>
      <c r="B198" s="1">
        <v>46224</v>
      </c>
      <c r="C198" t="s">
        <v>7</v>
      </c>
      <c r="D198" t="s">
        <v>23</v>
      </c>
      <c r="E198" t="s">
        <v>13</v>
      </c>
      <c r="F198" s="2">
        <v>2997.08</v>
      </c>
      <c r="G198" s="2"/>
    </row>
    <row r="199" spans="1:7">
      <c r="A199" t="s">
        <v>31</v>
      </c>
      <c r="B199" s="1">
        <v>46224</v>
      </c>
      <c r="C199" t="s">
        <v>7</v>
      </c>
      <c r="D199" t="s">
        <v>8</v>
      </c>
      <c r="E199" t="s">
        <v>27</v>
      </c>
      <c r="F199" s="2">
        <v>3188.78</v>
      </c>
      <c r="G199" s="2"/>
    </row>
    <row r="200" spans="1:7">
      <c r="A200" t="s">
        <v>31</v>
      </c>
      <c r="B200" s="1">
        <v>46225</v>
      </c>
      <c r="C200" t="s">
        <v>11</v>
      </c>
      <c r="D200" t="s">
        <v>12</v>
      </c>
      <c r="E200" t="s">
        <v>22</v>
      </c>
      <c r="F200" s="2">
        <v>1227.6300000000001</v>
      </c>
      <c r="G200" s="2"/>
    </row>
    <row r="201" spans="1:7">
      <c r="A201" t="s">
        <v>31</v>
      </c>
      <c r="B201" s="1">
        <v>46225</v>
      </c>
      <c r="C201" t="s">
        <v>25</v>
      </c>
      <c r="D201" t="s">
        <v>30</v>
      </c>
      <c r="E201" t="s">
        <v>17</v>
      </c>
      <c r="F201" s="2">
        <v>3086.56</v>
      </c>
      <c r="G201" s="2"/>
    </row>
    <row r="202" spans="1:7">
      <c r="A202" t="s">
        <v>31</v>
      </c>
      <c r="B202" s="1">
        <v>46225</v>
      </c>
      <c r="C202" t="s">
        <v>15</v>
      </c>
      <c r="D202" t="s">
        <v>16</v>
      </c>
      <c r="E202" t="s">
        <v>20</v>
      </c>
      <c r="F202" s="2">
        <v>980.99</v>
      </c>
      <c r="G202" s="2"/>
    </row>
    <row r="203" spans="1:7">
      <c r="A203" t="s">
        <v>31</v>
      </c>
      <c r="B203" s="1">
        <v>46226</v>
      </c>
      <c r="C203" t="s">
        <v>18</v>
      </c>
      <c r="D203" t="s">
        <v>19</v>
      </c>
      <c r="E203" t="s">
        <v>9</v>
      </c>
      <c r="F203" s="2">
        <v>2213.12</v>
      </c>
      <c r="G203" s="2"/>
    </row>
    <row r="204" spans="1:7">
      <c r="A204" t="s">
        <v>31</v>
      </c>
      <c r="B204" s="1">
        <v>46228</v>
      </c>
      <c r="C204" t="s">
        <v>25</v>
      </c>
      <c r="D204" t="s">
        <v>26</v>
      </c>
      <c r="E204" t="s">
        <v>27</v>
      </c>
      <c r="F204" s="2">
        <v>1004.49</v>
      </c>
      <c r="G204" s="2"/>
    </row>
    <row r="205" spans="1:7">
      <c r="A205" t="s">
        <v>31</v>
      </c>
      <c r="B205" s="1">
        <v>46228</v>
      </c>
      <c r="C205" t="s">
        <v>7</v>
      </c>
      <c r="D205" t="s">
        <v>23</v>
      </c>
      <c r="E205" t="s">
        <v>9</v>
      </c>
      <c r="F205" s="2">
        <v>1925.31</v>
      </c>
      <c r="G205" s="2"/>
    </row>
    <row r="206" spans="1:7">
      <c r="A206" t="s">
        <v>31</v>
      </c>
      <c r="B206" s="1">
        <v>46228</v>
      </c>
      <c r="C206" t="s">
        <v>11</v>
      </c>
      <c r="D206" t="s">
        <v>12</v>
      </c>
      <c r="E206" t="s">
        <v>22</v>
      </c>
      <c r="F206" s="2">
        <v>1637.52</v>
      </c>
      <c r="G206" s="2"/>
    </row>
    <row r="207" spans="1:7">
      <c r="A207" t="s">
        <v>31</v>
      </c>
      <c r="B207" s="1">
        <v>46229</v>
      </c>
      <c r="C207" t="s">
        <v>15</v>
      </c>
      <c r="D207" t="s">
        <v>29</v>
      </c>
      <c r="E207" t="s">
        <v>28</v>
      </c>
      <c r="F207" s="2">
        <v>2862.2</v>
      </c>
      <c r="G207" s="2"/>
    </row>
    <row r="208" spans="1:7">
      <c r="A208" t="s">
        <v>31</v>
      </c>
      <c r="B208" s="1">
        <v>46229</v>
      </c>
      <c r="C208" t="s">
        <v>18</v>
      </c>
      <c r="D208" t="s">
        <v>21</v>
      </c>
      <c r="E208" t="s">
        <v>20</v>
      </c>
      <c r="F208" s="2">
        <v>2971.7</v>
      </c>
      <c r="G208" s="2"/>
    </row>
    <row r="209" spans="1:7">
      <c r="A209" t="s">
        <v>31</v>
      </c>
      <c r="B209" s="1">
        <v>46229</v>
      </c>
      <c r="C209" t="s">
        <v>15</v>
      </c>
      <c r="D209" t="s">
        <v>29</v>
      </c>
      <c r="E209" t="s">
        <v>75</v>
      </c>
      <c r="F209" s="2">
        <v>2649.53</v>
      </c>
      <c r="G209" s="2"/>
    </row>
    <row r="210" spans="1:7">
      <c r="A210" t="s">
        <v>31</v>
      </c>
      <c r="B210" s="1">
        <v>46230</v>
      </c>
      <c r="C210" t="s">
        <v>7</v>
      </c>
      <c r="D210" t="s">
        <v>8</v>
      </c>
      <c r="E210" t="s">
        <v>28</v>
      </c>
      <c r="F210" s="2">
        <v>2253.79</v>
      </c>
      <c r="G210" s="2"/>
    </row>
    <row r="211" spans="1:7">
      <c r="A211" t="s">
        <v>31</v>
      </c>
      <c r="B211" s="1">
        <v>46231</v>
      </c>
      <c r="C211" t="s">
        <v>25</v>
      </c>
      <c r="D211" t="s">
        <v>26</v>
      </c>
      <c r="E211" t="s">
        <v>75</v>
      </c>
      <c r="F211" s="2">
        <v>904.81</v>
      </c>
      <c r="G211" s="2"/>
    </row>
    <row r="212" spans="1:7">
      <c r="A212" t="s">
        <v>6</v>
      </c>
      <c r="B212" s="1">
        <v>46235</v>
      </c>
      <c r="C212" t="s">
        <v>25</v>
      </c>
      <c r="D212" t="s">
        <v>30</v>
      </c>
      <c r="E212" t="s">
        <v>22</v>
      </c>
      <c r="F212" s="2">
        <v>2513.4</v>
      </c>
      <c r="G212" s="2"/>
    </row>
    <row r="213" spans="1:7">
      <c r="A213" t="s">
        <v>6</v>
      </c>
      <c r="B213" s="1">
        <v>46236</v>
      </c>
      <c r="C213" t="s">
        <v>25</v>
      </c>
      <c r="D213" t="s">
        <v>30</v>
      </c>
      <c r="E213" t="s">
        <v>17</v>
      </c>
      <c r="F213" s="2">
        <v>2881.08</v>
      </c>
      <c r="G213" s="2"/>
    </row>
    <row r="214" spans="1:7">
      <c r="A214" t="s">
        <v>6</v>
      </c>
      <c r="B214" s="1">
        <v>46237</v>
      </c>
      <c r="C214" t="s">
        <v>11</v>
      </c>
      <c r="D214" t="s">
        <v>12</v>
      </c>
      <c r="E214" t="s">
        <v>9</v>
      </c>
      <c r="F214" s="2">
        <v>953.24</v>
      </c>
      <c r="G214" s="2"/>
    </row>
    <row r="215" spans="1:7">
      <c r="A215" t="s">
        <v>6</v>
      </c>
      <c r="B215" s="1">
        <v>46237</v>
      </c>
      <c r="C215" t="s">
        <v>15</v>
      </c>
      <c r="D215" t="s">
        <v>29</v>
      </c>
      <c r="E215" t="s">
        <v>14</v>
      </c>
      <c r="F215" s="2">
        <v>4269.6400000000003</v>
      </c>
      <c r="G215" s="2"/>
    </row>
    <row r="216" spans="1:7">
      <c r="A216" t="s">
        <v>6</v>
      </c>
      <c r="B216" s="1">
        <v>46237</v>
      </c>
      <c r="C216" t="s">
        <v>11</v>
      </c>
      <c r="D216" t="s">
        <v>12</v>
      </c>
      <c r="E216" t="s">
        <v>75</v>
      </c>
      <c r="F216" s="2">
        <v>1093.93</v>
      </c>
      <c r="G216" s="2"/>
    </row>
    <row r="217" spans="1:7">
      <c r="A217" t="s">
        <v>6</v>
      </c>
      <c r="B217" s="1">
        <v>46237</v>
      </c>
      <c r="C217" t="s">
        <v>25</v>
      </c>
      <c r="D217" t="s">
        <v>30</v>
      </c>
      <c r="E217" t="s">
        <v>20</v>
      </c>
      <c r="F217" s="2">
        <v>2192.81</v>
      </c>
      <c r="G217" s="2"/>
    </row>
    <row r="218" spans="1:7">
      <c r="A218" t="s">
        <v>6</v>
      </c>
      <c r="B218" s="1">
        <v>46238</v>
      </c>
      <c r="C218" t="s">
        <v>25</v>
      </c>
      <c r="D218" t="s">
        <v>26</v>
      </c>
      <c r="E218" t="s">
        <v>75</v>
      </c>
      <c r="F218" s="2">
        <v>1368.3</v>
      </c>
      <c r="G218" s="2"/>
    </row>
    <row r="219" spans="1:7">
      <c r="A219" t="s">
        <v>6</v>
      </c>
      <c r="B219" s="1">
        <v>46239</v>
      </c>
      <c r="C219" t="s">
        <v>18</v>
      </c>
      <c r="D219" t="s">
        <v>21</v>
      </c>
      <c r="E219" t="s">
        <v>17</v>
      </c>
      <c r="F219" s="2">
        <v>1461.14</v>
      </c>
      <c r="G219" s="2"/>
    </row>
    <row r="220" spans="1:7">
      <c r="A220" t="s">
        <v>6</v>
      </c>
      <c r="B220" s="1">
        <v>46242</v>
      </c>
      <c r="C220" t="s">
        <v>25</v>
      </c>
      <c r="D220" t="s">
        <v>30</v>
      </c>
      <c r="E220" t="s">
        <v>20</v>
      </c>
      <c r="F220" s="2">
        <v>1760.26</v>
      </c>
      <c r="G220" s="2"/>
    </row>
    <row r="221" spans="1:7">
      <c r="A221" t="s">
        <v>6</v>
      </c>
      <c r="B221" s="1">
        <v>46244</v>
      </c>
      <c r="C221" t="s">
        <v>25</v>
      </c>
      <c r="D221" t="s">
        <v>26</v>
      </c>
      <c r="E221" t="s">
        <v>9</v>
      </c>
      <c r="F221" s="2">
        <v>2089.7600000000002</v>
      </c>
      <c r="G221" s="2"/>
    </row>
    <row r="222" spans="1:7">
      <c r="A222" t="s">
        <v>6</v>
      </c>
      <c r="B222" s="1">
        <v>46244</v>
      </c>
      <c r="C222" t="s">
        <v>15</v>
      </c>
      <c r="D222" t="s">
        <v>16</v>
      </c>
      <c r="E222" t="s">
        <v>27</v>
      </c>
      <c r="F222" s="2">
        <v>1139.08</v>
      </c>
      <c r="G222" s="2"/>
    </row>
    <row r="223" spans="1:7">
      <c r="A223" t="s">
        <v>6</v>
      </c>
      <c r="B223" s="1">
        <v>46246</v>
      </c>
      <c r="C223" t="s">
        <v>7</v>
      </c>
      <c r="D223" t="s">
        <v>23</v>
      </c>
      <c r="E223" t="s">
        <v>9</v>
      </c>
      <c r="F223" s="2">
        <v>2385.38</v>
      </c>
      <c r="G223" s="2"/>
    </row>
    <row r="224" spans="1:7">
      <c r="A224" t="s">
        <v>6</v>
      </c>
      <c r="B224" s="1">
        <v>46246</v>
      </c>
      <c r="C224" t="s">
        <v>15</v>
      </c>
      <c r="D224" t="s">
        <v>16</v>
      </c>
      <c r="E224" t="s">
        <v>20</v>
      </c>
      <c r="F224" s="2">
        <v>1414.85</v>
      </c>
      <c r="G224" s="2"/>
    </row>
    <row r="225" spans="1:7">
      <c r="A225" t="s">
        <v>6</v>
      </c>
      <c r="B225" s="1">
        <v>46246</v>
      </c>
      <c r="C225" t="s">
        <v>7</v>
      </c>
      <c r="D225" t="s">
        <v>23</v>
      </c>
      <c r="E225" t="s">
        <v>13</v>
      </c>
      <c r="F225" s="2">
        <v>1996.19</v>
      </c>
      <c r="G225" s="2"/>
    </row>
    <row r="226" spans="1:7">
      <c r="A226" t="s">
        <v>6</v>
      </c>
      <c r="B226" s="1">
        <v>46246</v>
      </c>
      <c r="C226" t="s">
        <v>11</v>
      </c>
      <c r="D226" t="s">
        <v>24</v>
      </c>
      <c r="E226" t="s">
        <v>20</v>
      </c>
      <c r="F226" s="2">
        <v>2259.11</v>
      </c>
      <c r="G226" s="2"/>
    </row>
    <row r="227" spans="1:7">
      <c r="A227" t="s">
        <v>6</v>
      </c>
      <c r="B227" s="1">
        <v>46249</v>
      </c>
      <c r="C227" t="s">
        <v>15</v>
      </c>
      <c r="D227" t="s">
        <v>29</v>
      </c>
      <c r="E227" t="s">
        <v>27</v>
      </c>
      <c r="F227" s="2">
        <v>3532.25</v>
      </c>
      <c r="G227" s="2"/>
    </row>
    <row r="228" spans="1:7">
      <c r="A228" t="s">
        <v>6</v>
      </c>
      <c r="B228" s="1">
        <v>46250</v>
      </c>
      <c r="C228" t="s">
        <v>18</v>
      </c>
      <c r="D228" t="s">
        <v>21</v>
      </c>
      <c r="E228" t="s">
        <v>28</v>
      </c>
      <c r="F228" s="2">
        <v>2078.0700000000002</v>
      </c>
      <c r="G228" s="2"/>
    </row>
    <row r="229" spans="1:7">
      <c r="A229" t="s">
        <v>6</v>
      </c>
      <c r="B229" s="1">
        <v>46250</v>
      </c>
      <c r="C229" t="s">
        <v>15</v>
      </c>
      <c r="D229" t="s">
        <v>29</v>
      </c>
      <c r="E229" t="s">
        <v>9</v>
      </c>
      <c r="F229" s="2">
        <v>3749.1</v>
      </c>
      <c r="G229" s="2"/>
    </row>
    <row r="230" spans="1:7">
      <c r="A230" t="s">
        <v>6</v>
      </c>
      <c r="B230" s="1">
        <v>46251</v>
      </c>
      <c r="C230" t="s">
        <v>11</v>
      </c>
      <c r="D230" t="s">
        <v>24</v>
      </c>
      <c r="E230" t="s">
        <v>10</v>
      </c>
      <c r="F230" s="2">
        <v>1639.58</v>
      </c>
      <c r="G230" s="2"/>
    </row>
    <row r="231" spans="1:7">
      <c r="A231" t="s">
        <v>6</v>
      </c>
      <c r="B231" s="1">
        <v>46251</v>
      </c>
      <c r="C231" t="s">
        <v>11</v>
      </c>
      <c r="D231" t="s">
        <v>24</v>
      </c>
      <c r="E231" t="s">
        <v>27</v>
      </c>
      <c r="F231" s="2">
        <v>2139.17</v>
      </c>
      <c r="G231" s="2"/>
    </row>
    <row r="232" spans="1:7">
      <c r="A232" t="s">
        <v>6</v>
      </c>
      <c r="B232" s="1">
        <v>46252</v>
      </c>
      <c r="C232" t="s">
        <v>25</v>
      </c>
      <c r="D232" t="s">
        <v>26</v>
      </c>
      <c r="E232" t="s">
        <v>10</v>
      </c>
      <c r="F232" s="2">
        <v>1501.03</v>
      </c>
      <c r="G232" s="2"/>
    </row>
    <row r="233" spans="1:7">
      <c r="A233" t="s">
        <v>6</v>
      </c>
      <c r="B233" s="1">
        <v>46255</v>
      </c>
      <c r="C233" t="s">
        <v>11</v>
      </c>
      <c r="D233" t="s">
        <v>24</v>
      </c>
      <c r="E233" t="s">
        <v>9</v>
      </c>
      <c r="F233" s="2">
        <v>1613.62</v>
      </c>
      <c r="G233" s="2"/>
    </row>
    <row r="234" spans="1:7">
      <c r="A234" t="s">
        <v>6</v>
      </c>
      <c r="B234" s="1">
        <v>46255</v>
      </c>
      <c r="C234" t="s">
        <v>18</v>
      </c>
      <c r="D234" t="s">
        <v>21</v>
      </c>
      <c r="E234" t="s">
        <v>9</v>
      </c>
      <c r="F234" s="2">
        <v>1457.51</v>
      </c>
      <c r="G234" s="2"/>
    </row>
    <row r="235" spans="1:7">
      <c r="A235" t="s">
        <v>6</v>
      </c>
      <c r="B235" s="1">
        <v>46255</v>
      </c>
      <c r="C235" t="s">
        <v>11</v>
      </c>
      <c r="D235" t="s">
        <v>12</v>
      </c>
      <c r="E235" t="s">
        <v>22</v>
      </c>
      <c r="F235" s="2">
        <v>1231.33</v>
      </c>
      <c r="G235" s="2"/>
    </row>
    <row r="236" spans="1:7">
      <c r="A236" t="s">
        <v>6</v>
      </c>
      <c r="B236" s="1">
        <v>46256</v>
      </c>
      <c r="C236" t="s">
        <v>18</v>
      </c>
      <c r="D236" t="s">
        <v>19</v>
      </c>
      <c r="E236" t="s">
        <v>75</v>
      </c>
      <c r="F236" s="2">
        <v>2567.2600000000002</v>
      </c>
      <c r="G236" s="2"/>
    </row>
    <row r="237" spans="1:7">
      <c r="A237" t="s">
        <v>6</v>
      </c>
      <c r="B237" s="1">
        <v>46257</v>
      </c>
      <c r="C237" t="s">
        <v>7</v>
      </c>
      <c r="D237" t="s">
        <v>8</v>
      </c>
      <c r="E237" t="s">
        <v>14</v>
      </c>
      <c r="F237" s="2">
        <v>1579.34</v>
      </c>
      <c r="G237" s="2"/>
    </row>
    <row r="238" spans="1:7">
      <c r="A238" t="s">
        <v>6</v>
      </c>
      <c r="B238" s="1">
        <v>46258</v>
      </c>
      <c r="C238" t="s">
        <v>7</v>
      </c>
      <c r="D238" t="s">
        <v>23</v>
      </c>
      <c r="E238" t="s">
        <v>17</v>
      </c>
      <c r="F238" s="2">
        <v>2320.77</v>
      </c>
      <c r="G238" s="2"/>
    </row>
    <row r="239" spans="1:7">
      <c r="A239" t="s">
        <v>6</v>
      </c>
      <c r="B239" s="1">
        <v>46259</v>
      </c>
      <c r="C239" t="s">
        <v>18</v>
      </c>
      <c r="D239" t="s">
        <v>21</v>
      </c>
      <c r="E239" t="s">
        <v>22</v>
      </c>
      <c r="F239" s="2">
        <v>1649.22</v>
      </c>
      <c r="G239" s="2"/>
    </row>
    <row r="240" spans="1:7">
      <c r="A240" t="s">
        <v>6</v>
      </c>
      <c r="B240" s="1">
        <v>46260</v>
      </c>
      <c r="C240" t="s">
        <v>7</v>
      </c>
      <c r="D240" t="s">
        <v>8</v>
      </c>
      <c r="E240" t="s">
        <v>14</v>
      </c>
      <c r="F240" s="2">
        <v>1660.33</v>
      </c>
      <c r="G240" s="2"/>
    </row>
    <row r="241" spans="1:7">
      <c r="A241" t="s">
        <v>6</v>
      </c>
      <c r="B241" s="1">
        <v>46260</v>
      </c>
      <c r="C241" t="s">
        <v>15</v>
      </c>
      <c r="D241" t="s">
        <v>16</v>
      </c>
      <c r="E241" t="s">
        <v>17</v>
      </c>
      <c r="F241" s="2">
        <v>1098.4100000000001</v>
      </c>
      <c r="G241" s="2"/>
    </row>
    <row r="242" spans="1:7">
      <c r="A242" t="s">
        <v>6</v>
      </c>
      <c r="B242" s="1">
        <v>46260</v>
      </c>
      <c r="C242" t="s">
        <v>18</v>
      </c>
      <c r="D242" t="s">
        <v>19</v>
      </c>
      <c r="E242" t="s">
        <v>20</v>
      </c>
      <c r="F242" s="2">
        <v>3243.72</v>
      </c>
      <c r="G242" s="2"/>
    </row>
    <row r="243" spans="1:7">
      <c r="A243" t="s">
        <v>6</v>
      </c>
      <c r="B243" s="1">
        <v>46261</v>
      </c>
      <c r="C243" t="s">
        <v>7</v>
      </c>
      <c r="D243" t="s">
        <v>8</v>
      </c>
      <c r="E243" t="s">
        <v>10</v>
      </c>
      <c r="F243" s="2">
        <v>2041.1</v>
      </c>
      <c r="G243" s="2"/>
    </row>
    <row r="244" spans="1:7">
      <c r="A244" t="s">
        <v>6</v>
      </c>
      <c r="B244" s="1">
        <v>46261</v>
      </c>
      <c r="C244" t="s">
        <v>11</v>
      </c>
      <c r="D244" t="s">
        <v>12</v>
      </c>
      <c r="E244" t="s">
        <v>13</v>
      </c>
      <c r="F244" s="2">
        <v>892.29</v>
      </c>
      <c r="G244" s="2"/>
    </row>
    <row r="245" spans="1:7">
      <c r="A245" t="s">
        <v>6</v>
      </c>
      <c r="B245" s="1">
        <v>46262</v>
      </c>
      <c r="C245" t="s">
        <v>7</v>
      </c>
      <c r="D245" t="s">
        <v>8</v>
      </c>
      <c r="E245" t="s">
        <v>9</v>
      </c>
      <c r="F245" s="2">
        <v>1762.89</v>
      </c>
      <c r="G245" s="2"/>
    </row>
  </sheetData>
  <conditionalFormatting sqref="K21">
    <cfRule type="duplicateValues" dxfId="3" priority="1"/>
  </conditionalFormatting>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6112-FD3B-45A7-A8BC-F6F7C3302F4D}">
  <dimension ref="A1:F11"/>
  <sheetViews>
    <sheetView showGridLines="0" showRowColHeaders="0" workbookViewId="0">
      <selection activeCell="F36" sqref="F36"/>
    </sheetView>
  </sheetViews>
  <sheetFormatPr defaultRowHeight="14.4"/>
  <cols>
    <col min="1" max="1" width="18.5546875" bestFit="1" customWidth="1"/>
    <col min="2" max="2" width="11.6640625" bestFit="1" customWidth="1"/>
    <col min="3" max="3" width="19.109375" bestFit="1" customWidth="1"/>
    <col min="4" max="4" width="15.5546875" bestFit="1" customWidth="1"/>
    <col min="5" max="5" width="16.5546875" customWidth="1"/>
    <col min="6" max="6" width="16.44140625" customWidth="1"/>
  </cols>
  <sheetData>
    <row r="1" spans="1:6">
      <c r="A1" t="s">
        <v>0</v>
      </c>
      <c r="B1" t="s">
        <v>2</v>
      </c>
      <c r="C1" t="s">
        <v>3</v>
      </c>
      <c r="D1" s="2" t="s">
        <v>38</v>
      </c>
      <c r="E1" s="2"/>
      <c r="F1" s="2"/>
    </row>
    <row r="2" spans="1:6">
      <c r="A2" t="s">
        <v>39</v>
      </c>
      <c r="B2" t="s">
        <v>11</v>
      </c>
      <c r="C2" t="s">
        <v>24</v>
      </c>
      <c r="D2" s="2">
        <v>9115.41</v>
      </c>
      <c r="E2" s="2"/>
      <c r="F2" s="2"/>
    </row>
    <row r="3" spans="1:6">
      <c r="A3" t="s">
        <v>39</v>
      </c>
      <c r="B3" t="s">
        <v>11</v>
      </c>
      <c r="C3" t="s">
        <v>12</v>
      </c>
      <c r="D3" s="2">
        <v>4200.09</v>
      </c>
      <c r="E3" s="2"/>
      <c r="F3" s="2"/>
    </row>
    <row r="4" spans="1:6">
      <c r="A4" t="s">
        <v>39</v>
      </c>
      <c r="B4" t="s">
        <v>18</v>
      </c>
      <c r="C4" t="s">
        <v>21</v>
      </c>
      <c r="D4" s="2">
        <v>6200.23</v>
      </c>
      <c r="E4" s="2"/>
      <c r="F4" s="2"/>
    </row>
    <row r="5" spans="1:6">
      <c r="A5" t="s">
        <v>39</v>
      </c>
      <c r="B5" t="s">
        <v>18</v>
      </c>
      <c r="C5" t="s">
        <v>19</v>
      </c>
      <c r="D5" s="2">
        <v>5785.69</v>
      </c>
      <c r="E5" s="2"/>
      <c r="F5" s="2"/>
    </row>
    <row r="6" spans="1:6">
      <c r="A6" t="s">
        <v>39</v>
      </c>
      <c r="B6" t="s">
        <v>7</v>
      </c>
      <c r="C6" t="s">
        <v>23</v>
      </c>
      <c r="D6" s="2">
        <v>9891.77</v>
      </c>
      <c r="E6" s="2"/>
      <c r="F6" s="2"/>
    </row>
    <row r="7" spans="1:6">
      <c r="A7" t="s">
        <v>39</v>
      </c>
      <c r="B7" t="s">
        <v>7</v>
      </c>
      <c r="C7" t="s">
        <v>8</v>
      </c>
      <c r="D7" s="2">
        <v>9413.6</v>
      </c>
      <c r="E7" s="2"/>
      <c r="F7" s="2"/>
    </row>
    <row r="8" spans="1:6">
      <c r="A8" t="s">
        <v>39</v>
      </c>
      <c r="B8" t="s">
        <v>15</v>
      </c>
      <c r="C8" t="s">
        <v>29</v>
      </c>
      <c r="D8" s="2">
        <v>11137.44</v>
      </c>
      <c r="E8" s="2"/>
      <c r="F8" s="2"/>
    </row>
    <row r="9" spans="1:6">
      <c r="A9" t="s">
        <v>39</v>
      </c>
      <c r="B9" t="s">
        <v>15</v>
      </c>
      <c r="C9" t="s">
        <v>16</v>
      </c>
      <c r="D9" s="2">
        <v>4695.51</v>
      </c>
      <c r="E9" s="2"/>
      <c r="F9" s="2"/>
    </row>
    <row r="10" spans="1:6">
      <c r="A10" t="s">
        <v>39</v>
      </c>
      <c r="B10" t="s">
        <v>25</v>
      </c>
      <c r="C10" t="s">
        <v>30</v>
      </c>
      <c r="D10" s="2">
        <v>7375.37</v>
      </c>
      <c r="E10" s="2"/>
      <c r="F10" s="2"/>
    </row>
    <row r="11" spans="1:6">
      <c r="A11" t="s">
        <v>39</v>
      </c>
      <c r="B11" t="s">
        <v>25</v>
      </c>
      <c r="C11" t="s">
        <v>26</v>
      </c>
      <c r="D11" s="2">
        <v>4238.38</v>
      </c>
      <c r="E11" s="2"/>
      <c r="F11" s="2"/>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B238-3C7C-40ED-86C8-F239DCEB0784}">
  <dimension ref="A3:B14"/>
  <sheetViews>
    <sheetView showGridLines="0" showRowColHeaders="0" workbookViewId="0">
      <selection activeCell="F36" sqref="F36"/>
    </sheetView>
  </sheetViews>
  <sheetFormatPr defaultRowHeight="14.4"/>
  <cols>
    <col min="1" max="1" width="19.109375" bestFit="1" customWidth="1"/>
    <col min="2" max="2" width="12.44140625" bestFit="1" customWidth="1"/>
  </cols>
  <sheetData>
    <row r="3" spans="1:2">
      <c r="A3" s="11" t="s">
        <v>3</v>
      </c>
      <c r="B3" t="s">
        <v>62</v>
      </c>
    </row>
    <row r="4" spans="1:2">
      <c r="A4" s="6" t="s">
        <v>29</v>
      </c>
      <c r="B4" s="3">
        <v>90222.109999999986</v>
      </c>
    </row>
    <row r="5" spans="1:2">
      <c r="A5" s="6" t="s">
        <v>23</v>
      </c>
      <c r="B5" s="3">
        <v>80792.450000000012</v>
      </c>
    </row>
    <row r="6" spans="1:2">
      <c r="A6" s="6" t="s">
        <v>24</v>
      </c>
      <c r="B6" s="3">
        <v>76862.94</v>
      </c>
    </row>
    <row r="7" spans="1:2">
      <c r="A7" s="6" t="s">
        <v>8</v>
      </c>
      <c r="B7" s="3">
        <v>73226</v>
      </c>
    </row>
    <row r="8" spans="1:2">
      <c r="A8" s="6" t="s">
        <v>30</v>
      </c>
      <c r="B8" s="3">
        <v>62315.619999999995</v>
      </c>
    </row>
    <row r="9" spans="1:2">
      <c r="A9" s="6" t="s">
        <v>21</v>
      </c>
      <c r="B9" s="3">
        <v>53177.680000000008</v>
      </c>
    </row>
    <row r="10" spans="1:2">
      <c r="A10" s="6" t="s">
        <v>19</v>
      </c>
      <c r="B10" s="3">
        <v>50486.530000000006</v>
      </c>
    </row>
    <row r="11" spans="1:2">
      <c r="A11" s="6" t="s">
        <v>12</v>
      </c>
      <c r="B11" s="3">
        <v>39894.529999999992</v>
      </c>
    </row>
    <row r="12" spans="1:2">
      <c r="A12" s="6" t="s">
        <v>16</v>
      </c>
      <c r="B12" s="3">
        <v>39318.080000000002</v>
      </c>
    </row>
    <row r="13" spans="1:2">
      <c r="A13" s="6" t="s">
        <v>26</v>
      </c>
      <c r="B13" s="3">
        <v>33064.140000000007</v>
      </c>
    </row>
    <row r="14" spans="1:2">
      <c r="A14" s="6" t="s">
        <v>53</v>
      </c>
      <c r="B14" s="3">
        <v>599360.07999999996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FB6D-15AB-42F4-B660-4CE32A1FF6E9}">
  <dimension ref="A3:B9"/>
  <sheetViews>
    <sheetView showGridLines="0" showRowColHeaders="0" zoomScale="76" zoomScaleNormal="76" workbookViewId="0">
      <selection activeCell="F36" sqref="F36"/>
    </sheetView>
  </sheetViews>
  <sheetFormatPr defaultRowHeight="14.4"/>
  <cols>
    <col min="1" max="1" width="14.77734375" bestFit="1" customWidth="1"/>
    <col min="2" max="2" width="13.5546875" bestFit="1" customWidth="1"/>
  </cols>
  <sheetData>
    <row r="3" spans="1:2">
      <c r="A3" s="11" t="s">
        <v>64</v>
      </c>
      <c r="B3" t="s">
        <v>63</v>
      </c>
    </row>
    <row r="4" spans="1:2">
      <c r="A4" s="6" t="s">
        <v>7</v>
      </c>
      <c r="B4" s="3">
        <v>154018.45000000004</v>
      </c>
    </row>
    <row r="5" spans="1:2">
      <c r="A5" s="6" t="s">
        <v>15</v>
      </c>
      <c r="B5" s="3">
        <v>129540.19</v>
      </c>
    </row>
    <row r="6" spans="1:2">
      <c r="A6" s="6" t="s">
        <v>11</v>
      </c>
      <c r="B6" s="3">
        <v>116757.47</v>
      </c>
    </row>
    <row r="7" spans="1:2">
      <c r="A7" s="6" t="s">
        <v>18</v>
      </c>
      <c r="B7" s="3">
        <v>103664.20999999998</v>
      </c>
    </row>
    <row r="8" spans="1:2">
      <c r="A8" s="6" t="s">
        <v>25</v>
      </c>
      <c r="B8" s="3">
        <v>95379.76</v>
      </c>
    </row>
    <row r="9" spans="1:2">
      <c r="A9" s="6" t="s">
        <v>53</v>
      </c>
      <c r="B9" s="3">
        <v>599360.07999999996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4322-5F20-4C28-984A-AACF709759D2}">
  <dimension ref="A3:B13"/>
  <sheetViews>
    <sheetView showGridLines="0" showRowColHeaders="0" workbookViewId="0">
      <selection activeCell="F36" sqref="F36"/>
    </sheetView>
  </sheetViews>
  <sheetFormatPr defaultRowHeight="14.4"/>
  <cols>
    <col min="1" max="1" width="10.21875" bestFit="1" customWidth="1"/>
    <col min="2" max="2" width="12.44140625" bestFit="1" customWidth="1"/>
  </cols>
  <sheetData>
    <row r="3" spans="1:2">
      <c r="A3" s="11" t="s">
        <v>1</v>
      </c>
      <c r="B3" t="s">
        <v>66</v>
      </c>
    </row>
    <row r="4" spans="1:2">
      <c r="A4" s="6" t="s">
        <v>65</v>
      </c>
      <c r="B4" s="3">
        <v>599360.08000000007</v>
      </c>
    </row>
    <row r="5" spans="1:2">
      <c r="A5" s="12" t="s">
        <v>54</v>
      </c>
      <c r="B5" s="3">
        <v>69696.639999999999</v>
      </c>
    </row>
    <row r="6" spans="1:2">
      <c r="A6" s="12" t="s">
        <v>55</v>
      </c>
      <c r="B6" s="3">
        <v>73842.239999999991</v>
      </c>
    </row>
    <row r="7" spans="1:2">
      <c r="A7" s="12" t="s">
        <v>56</v>
      </c>
      <c r="B7" s="3">
        <v>80206.090000000011</v>
      </c>
    </row>
    <row r="8" spans="1:2">
      <c r="A8" s="12" t="s">
        <v>57</v>
      </c>
      <c r="B8" s="3">
        <v>72735.179999999993</v>
      </c>
    </row>
    <row r="9" spans="1:2">
      <c r="A9" s="12" t="s">
        <v>58</v>
      </c>
      <c r="B9" s="3">
        <v>78384.12999999999</v>
      </c>
    </row>
    <row r="10" spans="1:2">
      <c r="A10" s="12" t="s">
        <v>59</v>
      </c>
      <c r="B10" s="3">
        <v>80792.250000000015</v>
      </c>
    </row>
    <row r="11" spans="1:2">
      <c r="A11" s="12" t="s">
        <v>60</v>
      </c>
      <c r="B11" s="3">
        <v>76168.38999999997</v>
      </c>
    </row>
    <row r="12" spans="1:2">
      <c r="A12" s="12" t="s">
        <v>61</v>
      </c>
      <c r="B12" s="3">
        <v>67535.16</v>
      </c>
    </row>
    <row r="13" spans="1:2">
      <c r="A13" s="6" t="s">
        <v>53</v>
      </c>
      <c r="B13" s="3">
        <v>599360.08000000007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5B43-C908-41B9-AB8E-E58A6D8D3ED2}">
  <dimension ref="A3:B9"/>
  <sheetViews>
    <sheetView showGridLines="0" showRowColHeaders="0" workbookViewId="0">
      <selection activeCell="F36" sqref="F36"/>
    </sheetView>
  </sheetViews>
  <sheetFormatPr defaultRowHeight="14.4"/>
  <cols>
    <col min="1" max="1" width="15.5546875" bestFit="1" customWidth="1"/>
    <col min="2" max="2" width="13.109375" bestFit="1" customWidth="1"/>
  </cols>
  <sheetData>
    <row r="3" spans="1:2">
      <c r="A3" s="11" t="s">
        <v>4</v>
      </c>
      <c r="B3" t="s">
        <v>74</v>
      </c>
    </row>
    <row r="4" spans="1:2">
      <c r="A4" s="6" t="s">
        <v>75</v>
      </c>
      <c r="B4" s="3">
        <v>84813.919999999984</v>
      </c>
    </row>
    <row r="5" spans="1:2">
      <c r="A5" s="6" t="s">
        <v>9</v>
      </c>
      <c r="B5" s="3">
        <v>83574.89</v>
      </c>
    </row>
    <row r="6" spans="1:2">
      <c r="A6" s="6" t="s">
        <v>20</v>
      </c>
      <c r="B6" s="3">
        <v>73884.260000000009</v>
      </c>
    </row>
    <row r="7" spans="1:2">
      <c r="A7" s="6" t="s">
        <v>22</v>
      </c>
      <c r="B7" s="3">
        <v>63531.73</v>
      </c>
    </row>
    <row r="8" spans="1:2">
      <c r="A8" s="6" t="s">
        <v>14</v>
      </c>
      <c r="B8" s="3">
        <v>62766.759999999987</v>
      </c>
    </row>
    <row r="9" spans="1:2">
      <c r="A9" s="6" t="s">
        <v>53</v>
      </c>
      <c r="B9" s="3">
        <v>368571.56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C0B6-2C21-4391-A917-EE4BFC3848C0}">
  <dimension ref="A3:C14"/>
  <sheetViews>
    <sheetView showGridLines="0" showRowColHeaders="0" workbookViewId="0">
      <selection activeCell="F36" sqref="F36"/>
    </sheetView>
  </sheetViews>
  <sheetFormatPr defaultRowHeight="14.4"/>
  <cols>
    <col min="1" max="1" width="19.109375" bestFit="1" customWidth="1"/>
    <col min="2" max="2" width="13.21875" bestFit="1" customWidth="1"/>
    <col min="3" max="3" width="16.44140625" bestFit="1" customWidth="1"/>
  </cols>
  <sheetData>
    <row r="3" spans="1:3">
      <c r="A3" s="11" t="s">
        <v>69</v>
      </c>
      <c r="B3" t="s">
        <v>68</v>
      </c>
      <c r="C3" t="s">
        <v>67</v>
      </c>
    </row>
    <row r="4" spans="1:3">
      <c r="A4" s="6" t="s">
        <v>26</v>
      </c>
      <c r="B4" s="3">
        <v>50860.56</v>
      </c>
      <c r="C4" s="3">
        <v>49596.210000000006</v>
      </c>
    </row>
    <row r="5" spans="1:3">
      <c r="A5" s="6" t="s">
        <v>24</v>
      </c>
      <c r="B5" s="3">
        <v>109384.92</v>
      </c>
      <c r="C5" s="3">
        <v>115294.41</v>
      </c>
    </row>
    <row r="6" spans="1:3">
      <c r="A6" s="6" t="s">
        <v>12</v>
      </c>
      <c r="B6" s="3">
        <v>50401.08</v>
      </c>
      <c r="C6" s="3">
        <v>59841.794999999984</v>
      </c>
    </row>
    <row r="7" spans="1:3">
      <c r="A7" s="6" t="s">
        <v>8</v>
      </c>
      <c r="B7" s="3">
        <v>112963.20000000001</v>
      </c>
      <c r="C7" s="3">
        <v>109839</v>
      </c>
    </row>
    <row r="8" spans="1:3">
      <c r="A8" s="6" t="s">
        <v>19</v>
      </c>
      <c r="B8" s="3">
        <v>69428.28</v>
      </c>
      <c r="C8" s="3">
        <v>75729.795000000013</v>
      </c>
    </row>
    <row r="9" spans="1:3">
      <c r="A9" s="6" t="s">
        <v>29</v>
      </c>
      <c r="B9" s="3">
        <v>133649.28</v>
      </c>
      <c r="C9" s="3">
        <v>135333.16499999998</v>
      </c>
    </row>
    <row r="10" spans="1:3">
      <c r="A10" s="6" t="s">
        <v>23</v>
      </c>
      <c r="B10" s="3">
        <v>118701.24</v>
      </c>
      <c r="C10" s="3">
        <v>121188.67500000002</v>
      </c>
    </row>
    <row r="11" spans="1:3">
      <c r="A11" s="6" t="s">
        <v>21</v>
      </c>
      <c r="B11" s="3">
        <v>74402.759999999995</v>
      </c>
      <c r="C11" s="3">
        <v>79766.520000000019</v>
      </c>
    </row>
    <row r="12" spans="1:3">
      <c r="A12" s="6" t="s">
        <v>16</v>
      </c>
      <c r="B12" s="3">
        <v>56346.12</v>
      </c>
      <c r="C12" s="3">
        <v>58977.120000000003</v>
      </c>
    </row>
    <row r="13" spans="1:3">
      <c r="A13" s="6" t="s">
        <v>30</v>
      </c>
      <c r="B13" s="3">
        <v>88504.44</v>
      </c>
      <c r="C13" s="3">
        <v>93473.43</v>
      </c>
    </row>
    <row r="14" spans="1:3">
      <c r="A14" s="6" t="s">
        <v>53</v>
      </c>
      <c r="B14" s="3">
        <v>864641.88000000012</v>
      </c>
      <c r="C14" s="3">
        <v>899040.12000000011</v>
      </c>
    </row>
  </sheetData>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75983C-7F04-4B95-AAE7-CDEDDD0AC7DF}">
  <ds:schemaRefs/>
</ds:datastoreItem>
</file>

<file path=customXml/itemProps2.xml><?xml version="1.0" encoding="utf-8"?>
<ds:datastoreItem xmlns:ds="http://schemas.openxmlformats.org/officeDocument/2006/customXml" ds:itemID="{47093346-5A34-4CCD-A650-09BCF039DC08}">
  <ds:schemaRefs/>
</ds:datastoreItem>
</file>

<file path=customXml/itemProps3.xml><?xml version="1.0" encoding="utf-8"?>
<ds:datastoreItem xmlns:ds="http://schemas.openxmlformats.org/officeDocument/2006/customXml" ds:itemID="{075629AB-3641-4118-B09E-C6C6551CF2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Analysis</vt:lpstr>
      <vt:lpstr>Actuals</vt:lpstr>
      <vt:lpstr>Monthly_Budget</vt:lpstr>
      <vt:lpstr>Pivot_Category</vt:lpstr>
      <vt:lpstr>Pivot_Department</vt:lpstr>
      <vt:lpstr>Pivot_Month</vt:lpstr>
      <vt:lpstr>Pivot_Vendors</vt:lpstr>
      <vt:lpstr>Pivot_Comparison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Narmukhamedova</dc:creator>
  <cp:lastModifiedBy>Alina Narmukhamedova</cp:lastModifiedBy>
  <cp:lastPrinted>2026-09-04T17:47:23Z</cp:lastPrinted>
  <dcterms:created xsi:type="dcterms:W3CDTF">2026-09-03T18:10:45Z</dcterms:created>
  <dcterms:modified xsi:type="dcterms:W3CDTF">2026-09-06T22:11:28Z</dcterms:modified>
</cp:coreProperties>
</file>